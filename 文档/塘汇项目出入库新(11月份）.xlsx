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 activeTab="1"/>
  </bookViews>
  <sheets>
    <sheet name="物资目录" sheetId="4" r:id="rId1"/>
    <sheet name="表1- 本月物资进出明细账" sheetId="2" r:id="rId2"/>
    <sheet name="表2- 本月物资进出汇总表（自动汇总）" sheetId="1" r:id="rId3"/>
    <sheet name="表3- 月数据自动汇总" sheetId="6" r:id="rId4"/>
    <sheet name="表4- 展示给李总" sheetId="10" r:id="rId5"/>
  </sheets>
  <definedNames>
    <definedName name="_xlnm._FilterDatabase" localSheetId="1" hidden="1">'表1- 本月物资进出明细账'!$A$2:$O$142</definedName>
    <definedName name="_xlnm._FilterDatabase" localSheetId="2" hidden="1">'表2- 本月物资进出汇总表（自动汇总）'!$A$2:$K$159</definedName>
    <definedName name="_xlnm.Print_Titles" localSheetId="0">物资目录!$1:$1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（自动生成数据）</t>
        </r>
      </text>
    </comment>
    <comment ref="I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（自动生成数据）
</t>
        </r>
      </text>
    </comment>
    <comment ref="J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（自动生成数据）
</t>
        </r>
      </text>
    </comment>
  </commentList>
</comments>
</file>

<file path=xl/sharedStrings.xml><?xml version="1.0" encoding="utf-8"?>
<sst xmlns="http://schemas.openxmlformats.org/spreadsheetml/2006/main" count="2336" uniqueCount="337">
  <si>
    <t>出入库类型</t>
  </si>
  <si>
    <t>物品名称</t>
  </si>
  <si>
    <t>物品型号</t>
  </si>
  <si>
    <t>单位</t>
  </si>
  <si>
    <t>物资类型</t>
  </si>
  <si>
    <t>分类</t>
  </si>
  <si>
    <t>出库方式</t>
  </si>
  <si>
    <t>入库方式</t>
  </si>
  <si>
    <t>入库</t>
  </si>
  <si>
    <t>簸箕</t>
  </si>
  <si>
    <t>塑料簸箕，45cm</t>
  </si>
  <si>
    <t>个</t>
  </si>
  <si>
    <t>道路保洁</t>
  </si>
  <si>
    <t>工具类</t>
  </si>
  <si>
    <t>员工领用</t>
  </si>
  <si>
    <t>自行采购</t>
  </si>
  <si>
    <t>出库</t>
  </si>
  <si>
    <t>布制兜袋，兜深45cm</t>
  </si>
  <si>
    <t>公司调拨</t>
  </si>
  <si>
    <t>公司发放</t>
  </si>
  <si>
    <t>道路保洁扫把</t>
  </si>
  <si>
    <t>中号，1.2m竹叶扫把</t>
  </si>
  <si>
    <t>把</t>
  </si>
  <si>
    <t>项目调拨</t>
  </si>
  <si>
    <t>大号，1.4m竹叶扫把</t>
  </si>
  <si>
    <t>到期报废</t>
  </si>
  <si>
    <t>其他情况</t>
  </si>
  <si>
    <t>垃圾夹</t>
  </si>
  <si>
    <t>塑料头钳，80cm</t>
  </si>
  <si>
    <t>手套</t>
  </si>
  <si>
    <t>麻布手套</t>
  </si>
  <si>
    <t>双</t>
  </si>
  <si>
    <t>黄胶复合防割手套</t>
  </si>
  <si>
    <t>铁耙</t>
  </si>
  <si>
    <t>九齿钉耙1.2m</t>
  </si>
  <si>
    <t>五齿钉耙1.2m</t>
  </si>
  <si>
    <t>铁锹</t>
  </si>
  <si>
    <t>平口铁锹1.2m</t>
  </si>
  <si>
    <t>圆口铁锹1.2m</t>
  </si>
  <si>
    <t>垃圾袋</t>
  </si>
  <si>
    <t>100*120cm（240L）</t>
  </si>
  <si>
    <t>耗材类</t>
  </si>
  <si>
    <t>80*100cm（120L）</t>
  </si>
  <si>
    <t>卷</t>
  </si>
  <si>
    <t>垃圾夹头</t>
  </si>
  <si>
    <t>绿色12cm胶头</t>
  </si>
  <si>
    <t>蛇皮袋</t>
  </si>
  <si>
    <t>100*120cm （240L）</t>
  </si>
  <si>
    <t>80*100cm （120L）</t>
  </si>
  <si>
    <t>自喷漆</t>
  </si>
  <si>
    <t>125ml/瓶，颜色备注</t>
  </si>
  <si>
    <t>瓶</t>
  </si>
  <si>
    <t>地刮</t>
  </si>
  <si>
    <t>塑料玻璃地刮45cm</t>
  </si>
  <si>
    <t>公厕保洁</t>
  </si>
  <si>
    <t>纯胶牛筋手套</t>
  </si>
  <si>
    <t>拖把</t>
  </si>
  <si>
    <t>友家，25cm海绵拖把</t>
  </si>
  <si>
    <t>布拖，铁架60cm</t>
  </si>
  <si>
    <t>除尘担</t>
  </si>
  <si>
    <t>塑料除尘担，伸缩杆</t>
  </si>
  <si>
    <t>84消毒液</t>
  </si>
  <si>
    <t>518ML/瓶</t>
  </si>
  <si>
    <t>芳香球</t>
  </si>
  <si>
    <t>5个一包</t>
  </si>
  <si>
    <t>包</t>
  </si>
  <si>
    <t>洁厕液</t>
  </si>
  <si>
    <t>威猛500ML/瓶</t>
  </si>
  <si>
    <t>45*60cm</t>
  </si>
  <si>
    <t>60*80cm</t>
  </si>
  <si>
    <t>杀虫剂</t>
  </si>
  <si>
    <t>雷达，600g/瓶</t>
  </si>
  <si>
    <t>檀香</t>
  </si>
  <si>
    <t>李字牌，10盘一盒</t>
  </si>
  <si>
    <t>盒</t>
  </si>
  <si>
    <t>洗手液</t>
  </si>
  <si>
    <t>新涤德，500g/瓶</t>
  </si>
  <si>
    <t>香水</t>
  </si>
  <si>
    <t>维穆，120ml/瓶</t>
  </si>
  <si>
    <t>卷纸</t>
  </si>
  <si>
    <t>180米滚筒式卷纸</t>
  </si>
  <si>
    <t>洗洁精</t>
  </si>
  <si>
    <t>白猫洗洁精，2kg/瓶</t>
  </si>
  <si>
    <t>机械化扫刷</t>
  </si>
  <si>
    <t>无钢丝，78*45*25*360</t>
  </si>
  <si>
    <t>机械化保洁</t>
  </si>
  <si>
    <t>无钢丝，88*45*25*360</t>
  </si>
  <si>
    <t>榕工机扫车扫刷</t>
  </si>
  <si>
    <t>全钢丝一体式扫刷</t>
  </si>
  <si>
    <t>钢软一体式扫刷</t>
  </si>
  <si>
    <t>新能源扫地刷</t>
  </si>
  <si>
    <t>聚乙烯新能源斜头</t>
  </si>
  <si>
    <t>涉水服</t>
  </si>
  <si>
    <t>防水皮材，备注码数</t>
  </si>
  <si>
    <t>套</t>
  </si>
  <si>
    <t>河道保洁</t>
  </si>
  <si>
    <t>服装类</t>
  </si>
  <si>
    <t>垃圾桶</t>
  </si>
  <si>
    <t>240L垃圾桶，类型备注</t>
  </si>
  <si>
    <t>通用物资</t>
  </si>
  <si>
    <t>毛巾</t>
  </si>
  <si>
    <t>10*30cm</t>
  </si>
  <si>
    <t>条</t>
  </si>
  <si>
    <t>30*60cm</t>
  </si>
  <si>
    <t>防腐丁晴手套</t>
  </si>
  <si>
    <t>水桶</t>
  </si>
  <si>
    <t>45L便携式塑料水桶</t>
  </si>
  <si>
    <t>腰包</t>
  </si>
  <si>
    <t>四格两层绿色定制</t>
  </si>
  <si>
    <t>垃圾桶轮子</t>
  </si>
  <si>
    <t>国新240L垃圾桶标准轮子</t>
  </si>
  <si>
    <t>垃圾桶轴承</t>
  </si>
  <si>
    <t>国新240L垃圾桶标准轮子轴承</t>
  </si>
  <si>
    <t>灭火器</t>
  </si>
  <si>
    <t>5kg干粉灭火器</t>
  </si>
  <si>
    <t>防水围裙</t>
  </si>
  <si>
    <t>皮质均码</t>
  </si>
  <si>
    <t>件</t>
  </si>
  <si>
    <t>油污整治</t>
  </si>
  <si>
    <t>水管</t>
  </si>
  <si>
    <t>直径5cm，备注计米水管</t>
  </si>
  <si>
    <t>米</t>
  </si>
  <si>
    <t>水枪头</t>
  </si>
  <si>
    <t>45cm嘉洁水枪头</t>
  </si>
  <si>
    <t>除油片</t>
  </si>
  <si>
    <t>50斤/包</t>
  </si>
  <si>
    <t>项目自购</t>
  </si>
  <si>
    <t>工具采购，备注标明具体</t>
  </si>
  <si>
    <t>耗材采购，备注标明具体</t>
  </si>
  <si>
    <t>保洁冬季工作装</t>
  </si>
  <si>
    <t>4XL</t>
  </si>
  <si>
    <t>工作服装</t>
  </si>
  <si>
    <t>3XL</t>
  </si>
  <si>
    <t>2XL</t>
  </si>
  <si>
    <t>XL</t>
  </si>
  <si>
    <t>L</t>
  </si>
  <si>
    <t>M</t>
  </si>
  <si>
    <t>保洁工作装臂章</t>
  </si>
  <si>
    <t>服装臂章，详见备注</t>
  </si>
  <si>
    <t>保洁夏季工作装</t>
  </si>
  <si>
    <t>分离式雨衣</t>
  </si>
  <si>
    <t>工作帽</t>
  </si>
  <si>
    <t>绿色，均码</t>
  </si>
  <si>
    <t>管理层T恤</t>
  </si>
  <si>
    <t>风油精</t>
  </si>
  <si>
    <t>水仙，5毫克/盒</t>
  </si>
  <si>
    <t>礼品类</t>
  </si>
  <si>
    <t>花露水</t>
  </si>
  <si>
    <t>六神，90毫克/瓶</t>
  </si>
  <si>
    <t>矿泉水</t>
  </si>
  <si>
    <t>印象秀湖，550ml/瓶</t>
  </si>
  <si>
    <t>印象秀湖，10.5L/桶</t>
  </si>
  <si>
    <t>桶</t>
  </si>
  <si>
    <t>纯棉独立包装，45*60cm</t>
  </si>
  <si>
    <t>洗衣粉</t>
  </si>
  <si>
    <t>好太太，1.18kg/袋</t>
  </si>
  <si>
    <t>袋</t>
  </si>
  <si>
    <t>洗衣液</t>
  </si>
  <si>
    <t>奥妙，900克/瓶</t>
  </si>
  <si>
    <t>好太太，2kg/袋</t>
  </si>
  <si>
    <t>香皂</t>
  </si>
  <si>
    <t>舒肤佳</t>
  </si>
  <si>
    <t>块</t>
  </si>
  <si>
    <t>牙膏</t>
  </si>
  <si>
    <t>高露洁，90克</t>
  </si>
  <si>
    <t>支</t>
  </si>
  <si>
    <t>牙刷</t>
  </si>
  <si>
    <t>高露洁</t>
  </si>
  <si>
    <t>雨伞</t>
  </si>
  <si>
    <t>logo定制混色自动雨伞</t>
  </si>
  <si>
    <t>车牌</t>
  </si>
  <si>
    <t>蓝色/绿色电动车车牌</t>
  </si>
  <si>
    <t>其他物资</t>
  </si>
  <si>
    <t>其他类</t>
  </si>
  <si>
    <t>横幅</t>
  </si>
  <si>
    <t>详见备注</t>
  </si>
  <si>
    <t>铁锹木柄</t>
  </si>
  <si>
    <t>1.2m长圆柱型木棍</t>
  </si>
  <si>
    <t>根</t>
  </si>
  <si>
    <t>尿素</t>
  </si>
  <si>
    <t>20升/桶</t>
  </si>
  <si>
    <t>镰刀</t>
  </si>
  <si>
    <t>弯月式短割草刀</t>
  </si>
  <si>
    <t>扫把</t>
  </si>
  <si>
    <t>塑料扫把簸箕一体式</t>
  </si>
  <si>
    <t>十字镐</t>
  </si>
  <si>
    <t>十字锥镐1.2m</t>
  </si>
  <si>
    <t>黄油</t>
  </si>
  <si>
    <t>车用</t>
  </si>
  <si>
    <t>机油</t>
  </si>
  <si>
    <t>液压油</t>
  </si>
  <si>
    <t>百洁布</t>
  </si>
  <si>
    <t>小方吸水百洁布</t>
  </si>
  <si>
    <t>反光背心</t>
  </si>
  <si>
    <t>均码反光背心</t>
  </si>
  <si>
    <t>肩灯</t>
  </si>
  <si>
    <t>多功能LED肩灯</t>
  </si>
  <si>
    <t>钢丝球</t>
  </si>
  <si>
    <t>细丝钢丝球刷</t>
  </si>
  <si>
    <t>救生衣</t>
  </si>
  <si>
    <t>马甲式黄色反光救生衣</t>
  </si>
  <si>
    <t>安全头盔</t>
  </si>
  <si>
    <t>国标级安全头盔</t>
  </si>
  <si>
    <t>马桶抽</t>
  </si>
  <si>
    <t>皮质马桶抽</t>
  </si>
  <si>
    <t xml:space="preserve">把 </t>
  </si>
  <si>
    <t>马桶刷</t>
  </si>
  <si>
    <t>塑料毛质马桶刷</t>
  </si>
  <si>
    <t>松香水</t>
  </si>
  <si>
    <t>油漆处理剂</t>
  </si>
  <si>
    <t>水龙头</t>
  </si>
  <si>
    <t>国标级水管水龙头</t>
  </si>
  <si>
    <t>喷雾器</t>
  </si>
  <si>
    <t>农药施肥加压式喷雾器</t>
  </si>
  <si>
    <t>木刷</t>
  </si>
  <si>
    <t>1.2m毛头地刷</t>
  </si>
  <si>
    <t>草甘膦</t>
  </si>
  <si>
    <t>杂草清理农药</t>
  </si>
  <si>
    <t>45L塑料网式桶娄</t>
  </si>
  <si>
    <t>铲刀</t>
  </si>
  <si>
    <t>15cm带柄铲刀</t>
  </si>
  <si>
    <t>铲刀刀片</t>
  </si>
  <si>
    <t>10片/盒，一体式刀片</t>
  </si>
  <si>
    <t>18L塑料网式桶娄</t>
  </si>
  <si>
    <t>12L塑料网式桶娄</t>
  </si>
  <si>
    <t>软铁落叶耙1.2m</t>
  </si>
  <si>
    <t>铁锤</t>
  </si>
  <si>
    <t>1.2m长柄铁锤</t>
  </si>
  <si>
    <t>雨靴</t>
  </si>
  <si>
    <t>36码</t>
  </si>
  <si>
    <t>37码</t>
  </si>
  <si>
    <t>38码</t>
  </si>
  <si>
    <t>39码</t>
  </si>
  <si>
    <t>40码</t>
  </si>
  <si>
    <t>41码</t>
  </si>
  <si>
    <t>42码</t>
  </si>
  <si>
    <t>排插</t>
  </si>
  <si>
    <t>多功能排插</t>
  </si>
  <si>
    <t>电线</t>
  </si>
  <si>
    <t>国标电线</t>
  </si>
  <si>
    <t>藿香正气水</t>
  </si>
  <si>
    <t>10支/盒</t>
  </si>
  <si>
    <t>仁丹</t>
  </si>
  <si>
    <t>10粒/包</t>
  </si>
  <si>
    <t>工会慰问品</t>
  </si>
  <si>
    <t>氯氟氰菊酯消杀剂</t>
  </si>
  <si>
    <t>500G/瓶</t>
  </si>
  <si>
    <t>氯氰菊酯消杀剂</t>
  </si>
  <si>
    <t>吹风机机油</t>
  </si>
  <si>
    <t>车辆机油</t>
  </si>
  <si>
    <t>机械化车辆机油</t>
  </si>
  <si>
    <t>洗手液补充剂</t>
  </si>
  <si>
    <t>8斤/瓶</t>
  </si>
  <si>
    <t>除胶剂</t>
  </si>
  <si>
    <t>450ML/瓶</t>
  </si>
  <si>
    <t>可回收垃圾贴</t>
  </si>
  <si>
    <t>36.5x56.5cm</t>
  </si>
  <si>
    <t>张</t>
  </si>
  <si>
    <t>其他垃圾垃圾帖</t>
  </si>
  <si>
    <t>侧面标语贴</t>
  </si>
  <si>
    <t>30.5x57cm</t>
  </si>
  <si>
    <t>一次性雨衣</t>
  </si>
  <si>
    <t>白色均码</t>
  </si>
  <si>
    <t>定制马克杯</t>
  </si>
  <si>
    <t>白色logo款</t>
  </si>
  <si>
    <t>小板凳</t>
  </si>
  <si>
    <t>35cm高小板凳</t>
  </si>
  <si>
    <t>门牌</t>
  </si>
  <si>
    <t>2米银色项目门牌</t>
  </si>
  <si>
    <t>电动吹风机</t>
  </si>
  <si>
    <t>锂电池吹风机</t>
  </si>
  <si>
    <t>台</t>
  </si>
  <si>
    <t>夹布式拖把</t>
  </si>
  <si>
    <t>水泵</t>
  </si>
  <si>
    <t>电动水泵</t>
  </si>
  <si>
    <t>吸尘机</t>
  </si>
  <si>
    <t>直筒式吸尘机</t>
  </si>
  <si>
    <t>大铲刀</t>
  </si>
  <si>
    <t>编钟形状带木柄</t>
  </si>
  <si>
    <t>手拉锯子</t>
  </si>
  <si>
    <t>中号44cm</t>
  </si>
  <si>
    <t>锄头</t>
  </si>
  <si>
    <t>半圆形状带木柄</t>
  </si>
  <si>
    <t>捆扎布拖把</t>
  </si>
  <si>
    <r>
      <rPr>
        <b/>
        <sz val="11"/>
        <rFont val="微软雅黑"/>
        <charset val="134"/>
      </rPr>
      <t>塘汇</t>
    </r>
    <r>
      <rPr>
        <b/>
        <u/>
        <sz val="11"/>
        <rFont val="微软雅黑"/>
        <charset val="134"/>
      </rPr>
      <t xml:space="preserve"> </t>
    </r>
    <r>
      <rPr>
        <b/>
        <sz val="11"/>
        <rFont val="微软雅黑"/>
        <charset val="134"/>
      </rPr>
      <t>项目本月物资进出明细单（</t>
    </r>
    <r>
      <rPr>
        <b/>
        <u/>
        <sz val="11"/>
        <rFont val="微软雅黑"/>
        <charset val="134"/>
      </rPr>
      <t xml:space="preserve">  2025  </t>
    </r>
    <r>
      <rPr>
        <b/>
        <sz val="11"/>
        <rFont val="微软雅黑"/>
        <charset val="134"/>
      </rPr>
      <t>年）</t>
    </r>
  </si>
  <si>
    <t>出入库时间</t>
  </si>
  <si>
    <t>出入库数量</t>
  </si>
  <si>
    <t>领用人（拿走的人）</t>
  </si>
  <si>
    <t>实际使用人/使用车</t>
  </si>
  <si>
    <t>具体使用路段/点位</t>
  </si>
  <si>
    <t>其他备注</t>
  </si>
  <si>
    <t>赵礼菊</t>
  </si>
  <si>
    <t>毕方群</t>
  </si>
  <si>
    <t>陈洪根</t>
  </si>
  <si>
    <t>刘宪蕾</t>
  </si>
  <si>
    <t>于志新</t>
  </si>
  <si>
    <t>茶园公厕</t>
  </si>
  <si>
    <t>钱凤珍</t>
  </si>
  <si>
    <t>永政公厕</t>
  </si>
  <si>
    <t>长纤塘公厕</t>
  </si>
  <si>
    <t>李运山</t>
  </si>
  <si>
    <t>办公室</t>
  </si>
  <si>
    <t>吴福荣</t>
  </si>
  <si>
    <t>赖长贵</t>
  </si>
  <si>
    <t>项目部厕所</t>
  </si>
  <si>
    <t>冯文伟</t>
  </si>
  <si>
    <t>田景强</t>
  </si>
  <si>
    <t>范立荣</t>
  </si>
  <si>
    <t>奥园公厕</t>
  </si>
  <si>
    <t>贺正华</t>
  </si>
  <si>
    <t>王庆合</t>
  </si>
  <si>
    <t>许月良</t>
  </si>
  <si>
    <t>王国义</t>
  </si>
  <si>
    <t>郑明祥</t>
  </si>
  <si>
    <t>邵松云</t>
  </si>
  <si>
    <t>梁桂生</t>
  </si>
  <si>
    <t>吴荣根</t>
  </si>
  <si>
    <t>张兴伦</t>
  </si>
  <si>
    <t>张根发</t>
  </si>
  <si>
    <r>
      <rPr>
        <b/>
        <sz val="14"/>
        <color rgb="FFFF0000"/>
        <rFont val="宋体"/>
        <charset val="134"/>
      </rPr>
      <t>塘汇</t>
    </r>
    <r>
      <rPr>
        <b/>
        <u/>
        <sz val="14"/>
        <color rgb="FFFF0000"/>
        <rFont val="宋体"/>
        <charset val="134"/>
      </rPr>
      <t xml:space="preserve"> </t>
    </r>
    <r>
      <rPr>
        <b/>
        <sz val="14"/>
        <color theme="1"/>
        <rFont val="宋体"/>
        <charset val="134"/>
      </rPr>
      <t>项目仓储明细单（</t>
    </r>
    <r>
      <rPr>
        <b/>
        <u/>
        <sz val="14"/>
        <color theme="1"/>
        <rFont val="宋体"/>
        <charset val="134"/>
      </rPr>
      <t xml:space="preserve">  2025  </t>
    </r>
    <r>
      <rPr>
        <b/>
        <sz val="14"/>
        <color theme="1"/>
        <rFont val="宋体"/>
        <charset val="134"/>
      </rPr>
      <t>年</t>
    </r>
    <r>
      <rPr>
        <b/>
        <u/>
        <sz val="14"/>
        <color theme="1"/>
        <rFont val="宋体"/>
        <charset val="134"/>
      </rPr>
      <t xml:space="preserve">  11  </t>
    </r>
    <r>
      <rPr>
        <b/>
        <sz val="14"/>
        <color theme="1"/>
        <rFont val="宋体"/>
        <charset val="134"/>
      </rPr>
      <t>月）</t>
    </r>
  </si>
  <si>
    <t>（黄色列会根据表1自动汇总，只要月底盘库，核对结余数量，内嵌公式）</t>
  </si>
  <si>
    <t>序号</t>
  </si>
  <si>
    <t>上月末结余数量（复制数据）</t>
  </si>
  <si>
    <t>本月入库数量</t>
  </si>
  <si>
    <t>本月发放数量</t>
  </si>
  <si>
    <t>本月末结余数量（表上数据要与仓库实数核对）</t>
  </si>
  <si>
    <t>备注</t>
  </si>
  <si>
    <t>其中4套无簸箕</t>
  </si>
  <si>
    <t>月数据自动汇总（操作）：</t>
  </si>
  <si>
    <t>一、按物资进出账汇总数据</t>
  </si>
  <si>
    <t>二、按各路段物资使用汇总数据</t>
  </si>
  <si>
    <t>三、按不同的领用人管理物资使用汇总数据</t>
  </si>
  <si>
    <t>求和项:出入库数量</t>
  </si>
  <si>
    <t>(空白)</t>
  </si>
  <si>
    <t>总计</t>
  </si>
  <si>
    <t>小凳子</t>
  </si>
  <si>
    <t>计数项:本月发放数量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</si>
</sst>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4"/>
      <color rgb="FFFF0000"/>
      <name val="宋体"/>
      <charset val="134"/>
    </font>
    <font>
      <b/>
      <u/>
      <sz val="14"/>
      <color rgb="FFFF0000"/>
      <name val="宋体"/>
      <charset val="134"/>
    </font>
    <font>
      <b/>
      <sz val="11"/>
      <color rgb="FFFF0000"/>
      <name val="宋体"/>
      <charset val="134"/>
    </font>
    <font>
      <b/>
      <u/>
      <sz val="11"/>
      <color rgb="FFFF0000"/>
      <name val="宋体"/>
      <charset val="134"/>
    </font>
    <font>
      <sz val="11"/>
      <color rgb="FFFF0000"/>
      <name val="微软雅黑"/>
      <charset val="134"/>
    </font>
    <font>
      <sz val="12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1"/>
      <name val="微软雅黑"/>
      <charset val="134"/>
    </font>
    <font>
      <b/>
      <u/>
      <sz val="14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6" applyNumberFormat="0" applyAlignment="0" applyProtection="0">
      <alignment vertical="center"/>
    </xf>
    <xf numFmtId="0" fontId="24" fillId="12" borderId="5" applyNumberFormat="0" applyAlignment="0" applyProtection="0">
      <alignment vertical="center"/>
    </xf>
    <xf numFmtId="0" fontId="25" fillId="13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76" fontId="12" fillId="2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4" fillId="0" borderId="0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314325</xdr:colOff>
      <xdr:row>1</xdr:row>
      <xdr:rowOff>1162050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54000"/>
          <a:ext cx="7210425" cy="1162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04.5737615741" refreshedBy="72106" recordCount="32">
  <cacheSource type="worksheet">
    <worksheetSource ref="A2:N1046870" sheet="表1- 本月物资进出明细账"/>
  </cacheSource>
  <cacheFields count="14">
    <cacheField name="出入库时间" numFmtId="176">
      <sharedItems containsString="0" containsBlank="1" containsNonDate="0" containsDate="1" minDate="2025-09-04T00:00:00" maxDate="2025-09-04T00:00:00" count="2">
        <d v="2025-09-04T00:00:00"/>
        <m/>
      </sharedItems>
    </cacheField>
    <cacheField name="出入库类型" numFmtId="0">
      <sharedItems containsBlank="1" count="3">
        <s v="入库"/>
        <m/>
        <s v="出库" u="1"/>
      </sharedItems>
    </cacheField>
    <cacheField name="物品名称" numFmtId="0">
      <sharedItems containsBlank="1" count="133">
        <s v="铁锹木柄"/>
        <s v="檀香"/>
        <s v="垃圾袋"/>
        <s v="洗洁精"/>
        <s v="洁厕液"/>
        <s v="芳香球"/>
        <s v="水桶"/>
        <s v="自喷漆"/>
        <s v="马桶抽"/>
        <s v="铲刀"/>
        <s v="拖把"/>
        <s v="工作帽"/>
        <s v="手套"/>
        <s v="除油片"/>
        <s v="洗衣粉"/>
        <s v="安全头盔"/>
        <s v="捆扎布拖把"/>
        <s v="镰刀"/>
        <s v="铁耙"/>
        <s v="除尘担"/>
        <s v="扫把"/>
        <s v="大铲刀"/>
        <s v="手拉锯子"/>
        <s v="锄头"/>
        <s v="垃圾桶"/>
        <s v="小凳子"/>
        <s v="铁锹"/>
        <s v="道路保洁扫把"/>
        <s v="垃圾夹"/>
        <m/>
        <s v="保洁夏季工作装" u="1"/>
        <s v="保洁夏季工作装上衣" u="1"/>
        <s v="氯氰菊酯消杀剂" u="1"/>
        <s v="矿泉水" u="1"/>
        <s v="项目自购" u="1"/>
        <s v="蛇皮袋" u="1"/>
        <s v="84消毒液" u="1"/>
        <s v="卷纸" u="1"/>
        <s v="洗手液" u="1"/>
        <s v="杀虫剂" u="1"/>
        <s v="地刮" u="1"/>
        <s v="簸箕" u="1"/>
        <s v="毛巾" u="1"/>
        <s v="雨靴" u="1"/>
        <s v="机械化扫刷" u="1"/>
        <s v="榕工机扫车扫刷" u="1"/>
        <s v="铲刀刀片" u="1"/>
        <s v="新能源扫地刷" u="1"/>
        <s v="香水" u="1"/>
        <s v="防水围裙" u="1"/>
        <s v="保洁冬季工作装" u="1"/>
        <s v="分离式雨衣" u="1"/>
        <s v="管理层T恤" u="1"/>
        <s v="洗衣液" u="1"/>
        <s v="十字镐" u="1"/>
        <s v="百洁布" u="1"/>
        <s v="马桶刷" u="1"/>
        <s v="松香水" u="1"/>
        <s v="木刷" u="1"/>
        <s v="草甘膦" u="1"/>
        <s v="铁锤" u="1"/>
        <s v="藿香正气水" u="1"/>
        <s v="仁丹" u="1"/>
        <s v="香皂" u="1"/>
        <s v="牙膏" u="1"/>
        <s v="牙刷" u="1"/>
        <s v="花露水" u="1"/>
        <s v="风油精" u="1"/>
        <s v="雨伞" u="1"/>
        <s v="工会慰问品" u="1"/>
        <e v="#N/A" u="1"/>
        <s v="警示牌" u="1"/>
        <s v="腰包" u="1"/>
        <s v="喷壶" u="1"/>
        <s v="公厕晾晒架" u="1"/>
        <s v="墙面拖把" u="1"/>
        <s v="对讲机" u="1"/>
        <s v="垃圾袋大" u="1"/>
        <s v="齿钉耙" u="1"/>
        <s v="喷漆" u="1"/>
        <s v="蓝色毛巾" u="1"/>
        <s v="防风簸箕" u="1"/>
        <s v="毛刷" u="1"/>
        <s v="铁楸木柄" u="1"/>
        <s v="塑料簸箕" u="1"/>
        <s v="防割手套" u="1"/>
        <s v="羊角耙" u="1"/>
        <s v="长柄铁锤" u="1"/>
        <s v="老碱" u="1"/>
        <s v="海绵拖把" u="1"/>
        <s v="50*60垃圾袋" u="1"/>
        <s v="平拖把" u="1"/>
        <s v="公厕垃圾桶篓子" u="1"/>
        <s v="男厕洁净球" u="1"/>
        <s v="洁厕剂" u="1"/>
        <s v="香薰" u="1"/>
        <s v="塑料扫把簸箕" u="1"/>
        <s v="马桶刷子" u="1"/>
        <s v="胶手套" u="1"/>
        <s v="台阶垫" u="1"/>
        <s v="清风三层180米大盘纸" u="1"/>
        <s v="垃圾袋中" u="1"/>
        <s v="晾晒牌" u="1"/>
        <s v="项目部标识" u="1"/>
        <s v="地图" u="1"/>
        <s v="电动车车牌" u="1"/>
        <s v="双层亚克力卡盒" u="1"/>
        <s v="塘汇公厕工作人员公示栏" u="1"/>
        <s v="公厕卫生间公告档" u="1"/>
        <s v="公共卫生间管理制度" u="1"/>
        <s v="240L垃圾桶" u="1"/>
        <s v="果壳箱钥匙" u="1"/>
        <s v="道路扫把" u="1"/>
        <s v="安全帽" u="1"/>
        <s v="冬装工作服（新）L" u="1"/>
        <s v="冬装工作服（新）XL" u="1"/>
        <s v="冬装工作服（新）2XL" u="1"/>
        <s v="冬装工作服（新）3XL" u="1"/>
        <s v="冬装工作服（新）4XL" u="1"/>
        <s v="分体式雨衣（新）175" u="1"/>
        <s v="分体式雨衣（新）180" u="1"/>
        <s v="分体式雨衣（新）185" u="1"/>
        <s v="雕牌洗衣粉" u="1"/>
        <s v="草甘磷" u="1"/>
        <s v="raid杀虫剂" u="1"/>
        <s v="威猛洁厕液" u="1"/>
        <s v="洁净球" u="1"/>
        <s v="蚊香" u="1"/>
        <s v="铁楸" u="1"/>
        <s v="塑料担子" u="1"/>
        <s v="80*100垃圾袋" u="1"/>
        <s v="李字檀香" u="1"/>
        <s v="塑料扫把" u="1"/>
      </sharedItems>
    </cacheField>
    <cacheField name="物品型号" numFmtId="0">
      <sharedItems containsBlank="1" count="32">
        <s v="1.2m长圆柱型木棍"/>
        <s v="李字牌，10盘一盒"/>
        <s v="45*60cm"/>
        <s v="白猫洗洁精，2kg/瓶"/>
        <s v="威猛500ML/瓶"/>
        <s v="5个一包"/>
        <s v="80*100cm（120L）"/>
        <s v="45L便携式塑料水桶"/>
        <s v="125ml/瓶，颜色备注"/>
        <s v="皮质马桶抽"/>
        <s v="15cm带柄铲刀"/>
        <s v="布拖，铁架60cm"/>
        <s v="绿色，均码"/>
        <s v="黄胶复合防割手套"/>
        <s v="50斤/包"/>
        <s v="好太太，1.18kg/袋"/>
        <s v="国标级安全头盔"/>
        <s v="捆扎布拖把"/>
        <s v="弯月式短割草刀"/>
        <s v="九齿钉耙1.2m"/>
        <s v="友家，25cm海绵拖把"/>
        <s v="塑料除尘担，伸缩杆"/>
        <s v="塑料扫把簸箕一体式"/>
        <s v="编钟形状带木柄"/>
        <s v="中号44cm"/>
        <s v="半圆形状带木柄"/>
        <s v="45L塑料网式桶娄"/>
        <s v="25*32"/>
        <s v="平口铁锹1.2m"/>
        <s v="中号，1.2m竹叶扫把"/>
        <s v="塑料头钳，80cm"/>
        <m/>
      </sharedItems>
    </cacheField>
    <cacheField name="单位" numFmtId="0">
      <sharedItems containsBlank="1" count="12">
        <s v="根"/>
        <s v="盒"/>
        <s v="卷"/>
        <s v="瓶"/>
        <s v="包"/>
        <s v="个"/>
        <s v="把 "/>
        <s v="把"/>
        <s v="双"/>
        <s v="袋"/>
        <s v="套"/>
        <m/>
      </sharedItems>
    </cacheField>
    <cacheField name="物资类型" numFmtId="0">
      <sharedItems containsBlank="1" count="7">
        <s v="道路保洁"/>
        <s v="公厕保洁"/>
        <s v="通用物资"/>
        <s v="工作服装"/>
        <s v="油污整治"/>
        <s v="礼品类"/>
        <m/>
      </sharedItems>
    </cacheField>
    <cacheField name="分类" numFmtId="0">
      <sharedItems containsBlank="1" count="5">
        <s v="工具类"/>
        <s v="耗材类"/>
        <s v="服装类"/>
        <s v="礼品类"/>
        <m/>
      </sharedItems>
    </cacheField>
    <cacheField name="出入库数量" numFmtId="0">
      <sharedItems containsString="0" containsBlank="1" containsNumber="1" containsInteger="1" minValue="0" maxValue="687" count="25">
        <n v="17"/>
        <n v="30"/>
        <n v="479"/>
        <n v="24"/>
        <n v="13"/>
        <n v="174"/>
        <n v="6"/>
        <n v="9"/>
        <n v="8"/>
        <n v="28"/>
        <n v="108"/>
        <n v="687"/>
        <n v="1"/>
        <n v="4"/>
        <n v="80"/>
        <n v="3"/>
        <n v="7"/>
        <n v="18"/>
        <n v="2"/>
        <n v="105"/>
        <n v="37"/>
        <n v="11"/>
        <n v="95"/>
        <n v="62"/>
        <m/>
      </sharedItems>
    </cacheField>
    <cacheField name="领用人（拿走的人）" numFmtId="0">
      <sharedItems containsString="0" containsBlank="1" containsNonDate="0" count="1">
        <m/>
      </sharedItems>
    </cacheField>
    <cacheField name="实际使用人/使用车" numFmtId="0">
      <sharedItems containsString="0" containsBlank="1" containsNonDate="0" count="1">
        <m/>
      </sharedItems>
    </cacheField>
    <cacheField name="具体使用路段/点位" numFmtId="0">
      <sharedItems containsString="0" containsBlank="1" containsNonDate="0" count="1">
        <m/>
      </sharedItems>
    </cacheField>
    <cacheField name="入库方式" numFmtId="0">
      <sharedItems containsBlank="1" count="2">
        <s v="项目调拨"/>
        <m/>
      </sharedItems>
    </cacheField>
    <cacheField name="出库方式" numFmtId="0">
      <sharedItems containsString="0" containsBlank="1" containsNonDate="0" count="1">
        <m/>
      </sharedItems>
    </cacheField>
    <cacheField name="其他备注" numFmtId="0">
      <sharedItems containsBlank="1" count="2">
        <m/>
        <s v="捆扎拖把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04.5737615741" refreshedBy="72106" recordCount="95">
  <cacheSource type="worksheet">
    <worksheetSource ref="A2:K97" sheet="表2- 本月物资进出汇总表（自动汇总）"/>
  </cacheSource>
  <cacheFields count="11">
    <cacheField name="序号" numFmtId="0">
      <sharedItems containsSemiMixedTypes="0" containsString="0" containsNumber="1" containsInteger="1" minValue="0" maxValue="95" count="9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</sharedItems>
    </cacheField>
    <cacheField name="物品名称" numFmtId="0">
      <sharedItems count="55">
        <s v="簸箕"/>
        <s v="道路保洁扫把"/>
        <s v="垃圾夹"/>
        <s v="手套"/>
        <s v="铁耙"/>
        <s v="铁锹"/>
        <s v="垃圾袋"/>
        <s v="垃圾夹头"/>
        <s v="蛇皮袋"/>
        <s v="自喷漆"/>
        <s v="地刮"/>
        <s v="拖把"/>
        <s v="除尘担"/>
        <s v="84消毒液"/>
        <s v="芳香球"/>
        <s v="洁厕液"/>
        <s v="杀虫剂"/>
        <s v="檀香"/>
        <s v="洗手液"/>
        <s v="香水"/>
        <s v="卷纸"/>
        <s v="洗洁精"/>
        <s v="机械化扫刷"/>
        <s v="榕工机扫车扫刷"/>
        <s v="新能源扫地刷"/>
        <s v="涉水服"/>
        <s v="垃圾桶"/>
        <s v="毛巾"/>
        <s v="水桶"/>
        <s v="腰包"/>
        <s v="垃圾桶轮子"/>
        <s v="垃圾桶轴承"/>
        <s v="灭火器"/>
        <s v="防水围裙"/>
        <s v="水管"/>
        <s v="水枪头"/>
        <s v="除油片"/>
        <s v="项目自购"/>
        <s v="保洁冬季工作装"/>
        <s v="保洁工作装臂章"/>
        <s v="保洁夏季工作装"/>
        <s v="分离式雨衣"/>
        <s v="工作帽"/>
        <s v="管理层T恤"/>
        <s v="风油精"/>
        <s v="花露水"/>
        <s v="矿泉水"/>
        <s v="洗衣粉"/>
        <s v="洗衣液"/>
        <s v="香皂"/>
        <s v="牙膏"/>
        <s v="牙刷"/>
        <s v="雨伞"/>
        <s v="车牌"/>
        <s v="横幅"/>
      </sharedItems>
    </cacheField>
    <cacheField name="物品型号" numFmtId="0">
      <sharedItems count="75">
        <s v="塑料簸箕，45cm"/>
        <s v="布制兜袋，兜深45cm"/>
        <s v="中号，1.2m竹叶扫把"/>
        <s v="大号，1.4m竹叶扫把"/>
        <s v="塑料头钳，80cm"/>
        <s v="麻布手套"/>
        <s v="黄胶复合防割手套"/>
        <s v="九齿钉耙1.2m"/>
        <s v="五齿钉耙1.2m"/>
        <s v="平口铁锹1.2m"/>
        <s v="圆口铁锹1.2m"/>
        <s v="100*120cm（240L）"/>
        <s v="80*100cm（120L）"/>
        <s v="绿色12cm胶头"/>
        <s v="80*100cm （120L）"/>
        <s v="125ml/瓶，颜色备注"/>
        <s v="塑料玻璃地刮45cm"/>
        <s v="纯胶牛筋手套"/>
        <s v="友家，25cm海绵拖把"/>
        <s v="布拖，铁架60cm"/>
        <s v="塑料除尘担，伸缩杆"/>
        <s v="518ML/瓶"/>
        <s v="5个一包"/>
        <s v="威猛500ML/瓶"/>
        <s v="45*60cm"/>
        <s v="60*80cm"/>
        <s v="雷达，600g/瓶"/>
        <s v="李字牌，10盘一盒"/>
        <s v="新涤德，500g/瓶"/>
        <s v="维穆，120ml/瓶"/>
        <s v="180米滚筒式卷纸"/>
        <s v="白猫洗洁精，2kg/瓶"/>
        <s v="无钢丝，78*45*25*360"/>
        <s v="无钢丝，88*45*25*360"/>
        <s v="全钢丝一体式扫刷"/>
        <s v="钢软一体式扫刷"/>
        <s v="聚乙烯新能源斜头"/>
        <s v="防水皮材，备注码数"/>
        <s v="240L垃圾桶，类型备注"/>
        <s v="10*30cm"/>
        <s v="30*60cm"/>
        <s v="防腐丁晴手套"/>
        <s v="45L便携式塑料水桶"/>
        <s v="四格两层绿色定制"/>
        <s v="国新240L垃圾桶标准轮子"/>
        <s v="国新240L垃圾桶标准轮子轴承"/>
        <s v="5kg干粉灭火器"/>
        <s v="皮质均码"/>
        <s v="直径5cm，备注计米水管"/>
        <s v="45cm嘉洁水枪头"/>
        <s v="50斤/包"/>
        <s v="工具采购，备注标明具体"/>
        <s v="耗材采购，备注标明具体"/>
        <s v="4XL"/>
        <s v="3XL"/>
        <s v="2XL"/>
        <s v="XL"/>
        <s v="L"/>
        <s v="M"/>
        <s v="服装臂章，详见备注"/>
        <s v="绿色，均码"/>
        <s v="水仙，5毫克/盒"/>
        <s v="六神，90毫克/瓶"/>
        <s v="印象秀湖，550ml/瓶"/>
        <s v="印象秀湖，10.5L/桶"/>
        <s v="纯棉独立包装，45*60cm"/>
        <s v="好太太，1.18kg/袋"/>
        <s v="奥妙，900克/瓶"/>
        <s v="好太太，2kg/袋"/>
        <s v="舒肤佳"/>
        <s v="高露洁，90克"/>
        <s v="高露洁"/>
        <s v="logo定制混色自动雨伞"/>
        <s v="蓝色/绿色电动车车牌"/>
        <s v="详见备注"/>
      </sharedItems>
    </cacheField>
    <cacheField name="单位" numFmtId="0">
      <sharedItems count="15">
        <s v="个"/>
        <s v="把"/>
        <s v="双"/>
        <s v="卷"/>
        <s v="瓶"/>
        <s v="包"/>
        <s v="盒"/>
        <s v="套"/>
        <s v="条"/>
        <s v="件"/>
        <s v="米"/>
        <s v="桶"/>
        <s v="袋"/>
        <s v="块"/>
        <s v="支"/>
      </sharedItems>
    </cacheField>
    <cacheField name="物资类型" numFmtId="0">
      <sharedItems containsBlank="1" count="10">
        <s v="道路保洁"/>
        <s v="公厕保洁"/>
        <s v="机械化保洁"/>
        <s v="河道保洁"/>
        <s v="通用物资"/>
        <s v="油污整治"/>
        <s v="工作服装"/>
        <s v="礼品类"/>
        <s v="其他物资"/>
        <m u="1"/>
      </sharedItems>
    </cacheField>
    <cacheField name="分类" numFmtId="0">
      <sharedItems count="5">
        <s v="工具类"/>
        <s v="耗材类"/>
        <s v="服装类"/>
        <s v="礼品类"/>
        <s v="其他类"/>
      </sharedItems>
    </cacheField>
    <cacheField name="上月末结余数量（复制数据）" numFmtId="0">
      <sharedItems containsSemiMixedTypes="0" containsString="0" containsNumber="1" containsInteger="1" minValue="0" maxValue="1656" count="26">
        <n v="14"/>
        <n v="7"/>
        <n v="319"/>
        <n v="0"/>
        <n v="3"/>
        <n v="8"/>
        <n v="6"/>
        <n v="31"/>
        <n v="139"/>
        <n v="5"/>
        <n v="13"/>
        <n v="2"/>
        <n v="23"/>
        <n v="79"/>
        <n v="87"/>
        <n v="20"/>
        <n v="19"/>
        <n v="93"/>
        <n v="1656"/>
        <n v="212"/>
        <n v="12"/>
        <n v="380"/>
        <n v="10"/>
        <n v="15"/>
        <n v="9"/>
        <n v="1"/>
      </sharedItems>
    </cacheField>
    <cacheField name="本月入库数量" numFmtId="0">
      <sharedItems containsNumber="1" containsInteger="1" containsMixedTypes="1" count="18">
        <n v="0"/>
        <n v="95"/>
        <s v="0"/>
        <n v="62"/>
        <n v="687"/>
        <n v="18"/>
        <n v="11"/>
        <n v="6"/>
        <n v="8"/>
        <n v="1"/>
        <n v="174"/>
        <n v="13"/>
        <n v="479"/>
        <n v="30"/>
        <n v="24"/>
        <n v="9"/>
        <n v="108"/>
        <n v="4"/>
      </sharedItems>
    </cacheField>
    <cacheField name="本月发放数量" numFmtId="0">
      <sharedItems containsNumber="1" containsInteger="1" containsMixedTypes="1" count="2">
        <n v="0"/>
        <s v="0"/>
      </sharedItems>
    </cacheField>
    <cacheField name="本月末结余数量（表上数据要与仓库实数核对）" numFmtId="0">
      <sharedItems containsSemiMixedTypes="0" containsString="0" containsNumber="1" containsInteger="1" minValue="0" maxValue="1656" count="33">
        <n v="14"/>
        <n v="7"/>
        <n v="414"/>
        <n v="0"/>
        <n v="62"/>
        <n v="690"/>
        <n v="25"/>
        <n v="19"/>
        <n v="6"/>
        <n v="37"/>
        <n v="139"/>
        <n v="13"/>
        <n v="3"/>
        <n v="9"/>
        <n v="197"/>
        <n v="20"/>
        <n v="558"/>
        <n v="87"/>
        <n v="30"/>
        <n v="93"/>
        <n v="24"/>
        <n v="1656"/>
        <n v="212"/>
        <n v="12"/>
        <n v="380"/>
        <n v="79"/>
        <n v="17"/>
        <n v="10"/>
        <n v="15"/>
        <n v="2"/>
        <n v="108"/>
        <n v="4"/>
        <n v="1"/>
      </sharedItems>
    </cacheField>
    <cacheField name="备注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0"/>
    <x v="0"/>
    <x v="0"/>
    <x v="0"/>
    <x v="0"/>
    <x v="0"/>
  </r>
  <r>
    <x v="0"/>
    <x v="0"/>
    <x v="2"/>
    <x v="2"/>
    <x v="2"/>
    <x v="1"/>
    <x v="1"/>
    <x v="2"/>
    <x v="0"/>
    <x v="0"/>
    <x v="0"/>
    <x v="0"/>
    <x v="0"/>
    <x v="0"/>
  </r>
  <r>
    <x v="0"/>
    <x v="0"/>
    <x v="3"/>
    <x v="3"/>
    <x v="3"/>
    <x v="1"/>
    <x v="1"/>
    <x v="3"/>
    <x v="0"/>
    <x v="0"/>
    <x v="0"/>
    <x v="0"/>
    <x v="0"/>
    <x v="0"/>
  </r>
  <r>
    <x v="0"/>
    <x v="0"/>
    <x v="4"/>
    <x v="4"/>
    <x v="3"/>
    <x v="1"/>
    <x v="1"/>
    <x v="4"/>
    <x v="0"/>
    <x v="0"/>
    <x v="0"/>
    <x v="0"/>
    <x v="0"/>
    <x v="0"/>
  </r>
  <r>
    <x v="0"/>
    <x v="0"/>
    <x v="5"/>
    <x v="5"/>
    <x v="4"/>
    <x v="1"/>
    <x v="1"/>
    <x v="5"/>
    <x v="0"/>
    <x v="0"/>
    <x v="0"/>
    <x v="0"/>
    <x v="0"/>
    <x v="0"/>
  </r>
  <r>
    <x v="0"/>
    <x v="0"/>
    <x v="2"/>
    <x v="6"/>
    <x v="2"/>
    <x v="0"/>
    <x v="1"/>
    <x v="6"/>
    <x v="0"/>
    <x v="0"/>
    <x v="0"/>
    <x v="0"/>
    <x v="0"/>
    <x v="0"/>
  </r>
  <r>
    <x v="0"/>
    <x v="0"/>
    <x v="6"/>
    <x v="7"/>
    <x v="5"/>
    <x v="2"/>
    <x v="0"/>
    <x v="7"/>
    <x v="0"/>
    <x v="0"/>
    <x v="0"/>
    <x v="0"/>
    <x v="0"/>
    <x v="0"/>
  </r>
  <r>
    <x v="0"/>
    <x v="0"/>
    <x v="7"/>
    <x v="8"/>
    <x v="3"/>
    <x v="0"/>
    <x v="1"/>
    <x v="8"/>
    <x v="0"/>
    <x v="0"/>
    <x v="0"/>
    <x v="0"/>
    <x v="0"/>
    <x v="0"/>
  </r>
  <r>
    <x v="0"/>
    <x v="0"/>
    <x v="8"/>
    <x v="9"/>
    <x v="6"/>
    <x v="1"/>
    <x v="0"/>
    <x v="6"/>
    <x v="0"/>
    <x v="0"/>
    <x v="0"/>
    <x v="0"/>
    <x v="0"/>
    <x v="0"/>
  </r>
  <r>
    <x v="0"/>
    <x v="0"/>
    <x v="9"/>
    <x v="10"/>
    <x v="5"/>
    <x v="0"/>
    <x v="0"/>
    <x v="9"/>
    <x v="0"/>
    <x v="0"/>
    <x v="0"/>
    <x v="0"/>
    <x v="0"/>
    <x v="0"/>
  </r>
  <r>
    <x v="0"/>
    <x v="0"/>
    <x v="10"/>
    <x v="11"/>
    <x v="7"/>
    <x v="1"/>
    <x v="0"/>
    <x v="6"/>
    <x v="0"/>
    <x v="0"/>
    <x v="0"/>
    <x v="0"/>
    <x v="0"/>
    <x v="0"/>
  </r>
  <r>
    <x v="0"/>
    <x v="0"/>
    <x v="11"/>
    <x v="12"/>
    <x v="5"/>
    <x v="3"/>
    <x v="2"/>
    <x v="10"/>
    <x v="0"/>
    <x v="0"/>
    <x v="0"/>
    <x v="0"/>
    <x v="0"/>
    <x v="0"/>
  </r>
  <r>
    <x v="0"/>
    <x v="0"/>
    <x v="12"/>
    <x v="13"/>
    <x v="8"/>
    <x v="0"/>
    <x v="0"/>
    <x v="11"/>
    <x v="0"/>
    <x v="0"/>
    <x v="0"/>
    <x v="0"/>
    <x v="0"/>
    <x v="0"/>
  </r>
  <r>
    <x v="0"/>
    <x v="0"/>
    <x v="13"/>
    <x v="14"/>
    <x v="4"/>
    <x v="4"/>
    <x v="1"/>
    <x v="12"/>
    <x v="0"/>
    <x v="0"/>
    <x v="0"/>
    <x v="0"/>
    <x v="0"/>
    <x v="0"/>
  </r>
  <r>
    <x v="0"/>
    <x v="0"/>
    <x v="14"/>
    <x v="15"/>
    <x v="9"/>
    <x v="5"/>
    <x v="3"/>
    <x v="13"/>
    <x v="0"/>
    <x v="0"/>
    <x v="0"/>
    <x v="0"/>
    <x v="0"/>
    <x v="0"/>
  </r>
  <r>
    <x v="0"/>
    <x v="0"/>
    <x v="15"/>
    <x v="16"/>
    <x v="5"/>
    <x v="3"/>
    <x v="2"/>
    <x v="14"/>
    <x v="0"/>
    <x v="0"/>
    <x v="0"/>
    <x v="0"/>
    <x v="0"/>
    <x v="0"/>
  </r>
  <r>
    <x v="0"/>
    <x v="0"/>
    <x v="16"/>
    <x v="17"/>
    <x v="5"/>
    <x v="0"/>
    <x v="0"/>
    <x v="15"/>
    <x v="0"/>
    <x v="0"/>
    <x v="0"/>
    <x v="0"/>
    <x v="0"/>
    <x v="1"/>
  </r>
  <r>
    <x v="0"/>
    <x v="0"/>
    <x v="17"/>
    <x v="18"/>
    <x v="7"/>
    <x v="0"/>
    <x v="0"/>
    <x v="16"/>
    <x v="0"/>
    <x v="0"/>
    <x v="0"/>
    <x v="0"/>
    <x v="0"/>
    <x v="0"/>
  </r>
  <r>
    <x v="0"/>
    <x v="0"/>
    <x v="18"/>
    <x v="19"/>
    <x v="7"/>
    <x v="0"/>
    <x v="0"/>
    <x v="17"/>
    <x v="0"/>
    <x v="0"/>
    <x v="0"/>
    <x v="0"/>
    <x v="0"/>
    <x v="0"/>
  </r>
  <r>
    <x v="0"/>
    <x v="0"/>
    <x v="10"/>
    <x v="20"/>
    <x v="7"/>
    <x v="1"/>
    <x v="0"/>
    <x v="12"/>
    <x v="0"/>
    <x v="0"/>
    <x v="0"/>
    <x v="0"/>
    <x v="0"/>
    <x v="0"/>
  </r>
  <r>
    <x v="0"/>
    <x v="0"/>
    <x v="19"/>
    <x v="21"/>
    <x v="7"/>
    <x v="1"/>
    <x v="0"/>
    <x v="6"/>
    <x v="0"/>
    <x v="0"/>
    <x v="0"/>
    <x v="0"/>
    <x v="0"/>
    <x v="0"/>
  </r>
  <r>
    <x v="0"/>
    <x v="0"/>
    <x v="20"/>
    <x v="22"/>
    <x v="10"/>
    <x v="1"/>
    <x v="0"/>
    <x v="8"/>
    <x v="0"/>
    <x v="0"/>
    <x v="0"/>
    <x v="0"/>
    <x v="0"/>
    <x v="0"/>
  </r>
  <r>
    <x v="0"/>
    <x v="0"/>
    <x v="21"/>
    <x v="23"/>
    <x v="5"/>
    <x v="0"/>
    <x v="0"/>
    <x v="12"/>
    <x v="0"/>
    <x v="0"/>
    <x v="0"/>
    <x v="0"/>
    <x v="0"/>
    <x v="0"/>
  </r>
  <r>
    <x v="0"/>
    <x v="0"/>
    <x v="22"/>
    <x v="24"/>
    <x v="5"/>
    <x v="0"/>
    <x v="0"/>
    <x v="18"/>
    <x v="0"/>
    <x v="0"/>
    <x v="0"/>
    <x v="0"/>
    <x v="0"/>
    <x v="0"/>
  </r>
  <r>
    <x v="0"/>
    <x v="0"/>
    <x v="23"/>
    <x v="25"/>
    <x v="5"/>
    <x v="0"/>
    <x v="0"/>
    <x v="18"/>
    <x v="0"/>
    <x v="0"/>
    <x v="0"/>
    <x v="0"/>
    <x v="0"/>
    <x v="0"/>
  </r>
  <r>
    <x v="0"/>
    <x v="0"/>
    <x v="24"/>
    <x v="26"/>
    <x v="5"/>
    <x v="1"/>
    <x v="0"/>
    <x v="19"/>
    <x v="0"/>
    <x v="0"/>
    <x v="0"/>
    <x v="0"/>
    <x v="0"/>
    <x v="0"/>
  </r>
  <r>
    <x v="0"/>
    <x v="0"/>
    <x v="25"/>
    <x v="27"/>
    <x v="5"/>
    <x v="0"/>
    <x v="0"/>
    <x v="20"/>
    <x v="0"/>
    <x v="0"/>
    <x v="0"/>
    <x v="0"/>
    <x v="0"/>
    <x v="0"/>
  </r>
  <r>
    <x v="0"/>
    <x v="0"/>
    <x v="26"/>
    <x v="28"/>
    <x v="7"/>
    <x v="0"/>
    <x v="0"/>
    <x v="21"/>
    <x v="0"/>
    <x v="0"/>
    <x v="0"/>
    <x v="0"/>
    <x v="0"/>
    <x v="0"/>
  </r>
  <r>
    <x v="0"/>
    <x v="0"/>
    <x v="27"/>
    <x v="29"/>
    <x v="7"/>
    <x v="0"/>
    <x v="0"/>
    <x v="22"/>
    <x v="0"/>
    <x v="0"/>
    <x v="0"/>
    <x v="0"/>
    <x v="0"/>
    <x v="0"/>
  </r>
  <r>
    <x v="0"/>
    <x v="0"/>
    <x v="28"/>
    <x v="30"/>
    <x v="7"/>
    <x v="0"/>
    <x v="0"/>
    <x v="23"/>
    <x v="0"/>
    <x v="0"/>
    <x v="0"/>
    <x v="0"/>
    <x v="0"/>
    <x v="0"/>
  </r>
  <r>
    <x v="1"/>
    <x v="1"/>
    <x v="29"/>
    <x v="31"/>
    <x v="11"/>
    <x v="6"/>
    <x v="4"/>
    <x v="24"/>
    <x v="0"/>
    <x v="0"/>
    <x v="0"/>
    <x v="1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5">
  <r>
    <x v="0"/>
    <x v="0"/>
    <x v="0"/>
    <x v="0"/>
    <x v="0"/>
    <x v="0"/>
    <x v="0"/>
    <x v="0"/>
    <x v="0"/>
    <x v="0"/>
    <x v="0"/>
  </r>
  <r>
    <x v="1"/>
    <x v="0"/>
    <x v="1"/>
    <x v="0"/>
    <x v="0"/>
    <x v="0"/>
    <x v="1"/>
    <x v="0"/>
    <x v="0"/>
    <x v="1"/>
    <x v="0"/>
  </r>
  <r>
    <x v="2"/>
    <x v="1"/>
    <x v="2"/>
    <x v="1"/>
    <x v="0"/>
    <x v="0"/>
    <x v="2"/>
    <x v="1"/>
    <x v="0"/>
    <x v="2"/>
    <x v="0"/>
  </r>
  <r>
    <x v="3"/>
    <x v="1"/>
    <x v="3"/>
    <x v="1"/>
    <x v="0"/>
    <x v="0"/>
    <x v="3"/>
    <x v="2"/>
    <x v="1"/>
    <x v="3"/>
    <x v="0"/>
  </r>
  <r>
    <x v="4"/>
    <x v="2"/>
    <x v="4"/>
    <x v="1"/>
    <x v="0"/>
    <x v="0"/>
    <x v="3"/>
    <x v="3"/>
    <x v="0"/>
    <x v="4"/>
    <x v="0"/>
  </r>
  <r>
    <x v="5"/>
    <x v="3"/>
    <x v="5"/>
    <x v="2"/>
    <x v="0"/>
    <x v="0"/>
    <x v="3"/>
    <x v="2"/>
    <x v="1"/>
    <x v="3"/>
    <x v="0"/>
  </r>
  <r>
    <x v="6"/>
    <x v="3"/>
    <x v="6"/>
    <x v="2"/>
    <x v="0"/>
    <x v="0"/>
    <x v="4"/>
    <x v="4"/>
    <x v="0"/>
    <x v="5"/>
    <x v="0"/>
  </r>
  <r>
    <x v="7"/>
    <x v="4"/>
    <x v="7"/>
    <x v="1"/>
    <x v="0"/>
    <x v="0"/>
    <x v="1"/>
    <x v="5"/>
    <x v="0"/>
    <x v="6"/>
    <x v="0"/>
  </r>
  <r>
    <x v="8"/>
    <x v="4"/>
    <x v="8"/>
    <x v="1"/>
    <x v="0"/>
    <x v="0"/>
    <x v="3"/>
    <x v="2"/>
    <x v="1"/>
    <x v="3"/>
    <x v="0"/>
  </r>
  <r>
    <x v="9"/>
    <x v="5"/>
    <x v="9"/>
    <x v="1"/>
    <x v="0"/>
    <x v="0"/>
    <x v="5"/>
    <x v="6"/>
    <x v="0"/>
    <x v="7"/>
    <x v="0"/>
  </r>
  <r>
    <x v="10"/>
    <x v="5"/>
    <x v="10"/>
    <x v="1"/>
    <x v="0"/>
    <x v="0"/>
    <x v="3"/>
    <x v="2"/>
    <x v="1"/>
    <x v="3"/>
    <x v="0"/>
  </r>
  <r>
    <x v="11"/>
    <x v="6"/>
    <x v="11"/>
    <x v="0"/>
    <x v="0"/>
    <x v="1"/>
    <x v="6"/>
    <x v="0"/>
    <x v="0"/>
    <x v="8"/>
    <x v="0"/>
  </r>
  <r>
    <x v="12"/>
    <x v="6"/>
    <x v="12"/>
    <x v="3"/>
    <x v="0"/>
    <x v="1"/>
    <x v="7"/>
    <x v="7"/>
    <x v="0"/>
    <x v="9"/>
    <x v="0"/>
  </r>
  <r>
    <x v="13"/>
    <x v="7"/>
    <x v="13"/>
    <x v="0"/>
    <x v="0"/>
    <x v="1"/>
    <x v="3"/>
    <x v="2"/>
    <x v="1"/>
    <x v="3"/>
    <x v="0"/>
  </r>
  <r>
    <x v="14"/>
    <x v="8"/>
    <x v="11"/>
    <x v="0"/>
    <x v="0"/>
    <x v="1"/>
    <x v="3"/>
    <x v="2"/>
    <x v="1"/>
    <x v="3"/>
    <x v="0"/>
  </r>
  <r>
    <x v="15"/>
    <x v="8"/>
    <x v="14"/>
    <x v="0"/>
    <x v="0"/>
    <x v="1"/>
    <x v="8"/>
    <x v="0"/>
    <x v="0"/>
    <x v="10"/>
    <x v="0"/>
  </r>
  <r>
    <x v="16"/>
    <x v="9"/>
    <x v="15"/>
    <x v="4"/>
    <x v="0"/>
    <x v="1"/>
    <x v="9"/>
    <x v="8"/>
    <x v="0"/>
    <x v="11"/>
    <x v="0"/>
  </r>
  <r>
    <x v="17"/>
    <x v="10"/>
    <x v="16"/>
    <x v="1"/>
    <x v="1"/>
    <x v="0"/>
    <x v="10"/>
    <x v="0"/>
    <x v="0"/>
    <x v="11"/>
    <x v="0"/>
  </r>
  <r>
    <x v="18"/>
    <x v="3"/>
    <x v="17"/>
    <x v="2"/>
    <x v="1"/>
    <x v="0"/>
    <x v="3"/>
    <x v="0"/>
    <x v="0"/>
    <x v="3"/>
    <x v="0"/>
  </r>
  <r>
    <x v="19"/>
    <x v="11"/>
    <x v="18"/>
    <x v="1"/>
    <x v="1"/>
    <x v="0"/>
    <x v="11"/>
    <x v="9"/>
    <x v="0"/>
    <x v="12"/>
    <x v="0"/>
  </r>
  <r>
    <x v="20"/>
    <x v="11"/>
    <x v="19"/>
    <x v="1"/>
    <x v="1"/>
    <x v="0"/>
    <x v="4"/>
    <x v="7"/>
    <x v="0"/>
    <x v="13"/>
    <x v="0"/>
  </r>
  <r>
    <x v="21"/>
    <x v="12"/>
    <x v="20"/>
    <x v="1"/>
    <x v="1"/>
    <x v="0"/>
    <x v="4"/>
    <x v="7"/>
    <x v="0"/>
    <x v="13"/>
    <x v="0"/>
  </r>
  <r>
    <x v="22"/>
    <x v="13"/>
    <x v="21"/>
    <x v="4"/>
    <x v="1"/>
    <x v="1"/>
    <x v="3"/>
    <x v="0"/>
    <x v="0"/>
    <x v="3"/>
    <x v="0"/>
  </r>
  <r>
    <x v="23"/>
    <x v="14"/>
    <x v="22"/>
    <x v="5"/>
    <x v="1"/>
    <x v="1"/>
    <x v="12"/>
    <x v="10"/>
    <x v="0"/>
    <x v="14"/>
    <x v="0"/>
  </r>
  <r>
    <x v="24"/>
    <x v="15"/>
    <x v="23"/>
    <x v="4"/>
    <x v="1"/>
    <x v="1"/>
    <x v="1"/>
    <x v="11"/>
    <x v="0"/>
    <x v="15"/>
    <x v="0"/>
  </r>
  <r>
    <x v="25"/>
    <x v="6"/>
    <x v="24"/>
    <x v="3"/>
    <x v="1"/>
    <x v="1"/>
    <x v="13"/>
    <x v="12"/>
    <x v="0"/>
    <x v="16"/>
    <x v="0"/>
  </r>
  <r>
    <x v="26"/>
    <x v="6"/>
    <x v="25"/>
    <x v="0"/>
    <x v="1"/>
    <x v="1"/>
    <x v="14"/>
    <x v="0"/>
    <x v="0"/>
    <x v="17"/>
    <x v="0"/>
  </r>
  <r>
    <x v="27"/>
    <x v="16"/>
    <x v="26"/>
    <x v="4"/>
    <x v="1"/>
    <x v="1"/>
    <x v="15"/>
    <x v="0"/>
    <x v="0"/>
    <x v="15"/>
    <x v="0"/>
  </r>
  <r>
    <x v="28"/>
    <x v="17"/>
    <x v="27"/>
    <x v="6"/>
    <x v="1"/>
    <x v="1"/>
    <x v="3"/>
    <x v="13"/>
    <x v="0"/>
    <x v="18"/>
    <x v="0"/>
  </r>
  <r>
    <x v="29"/>
    <x v="18"/>
    <x v="28"/>
    <x v="4"/>
    <x v="1"/>
    <x v="1"/>
    <x v="16"/>
    <x v="0"/>
    <x v="0"/>
    <x v="7"/>
    <x v="0"/>
  </r>
  <r>
    <x v="30"/>
    <x v="19"/>
    <x v="29"/>
    <x v="4"/>
    <x v="1"/>
    <x v="1"/>
    <x v="3"/>
    <x v="0"/>
    <x v="0"/>
    <x v="3"/>
    <x v="0"/>
  </r>
  <r>
    <x v="31"/>
    <x v="20"/>
    <x v="30"/>
    <x v="3"/>
    <x v="1"/>
    <x v="1"/>
    <x v="17"/>
    <x v="0"/>
    <x v="0"/>
    <x v="19"/>
    <x v="0"/>
  </r>
  <r>
    <x v="32"/>
    <x v="21"/>
    <x v="31"/>
    <x v="4"/>
    <x v="1"/>
    <x v="1"/>
    <x v="3"/>
    <x v="14"/>
    <x v="0"/>
    <x v="20"/>
    <x v="0"/>
  </r>
  <r>
    <x v="33"/>
    <x v="22"/>
    <x v="32"/>
    <x v="1"/>
    <x v="2"/>
    <x v="1"/>
    <x v="18"/>
    <x v="0"/>
    <x v="0"/>
    <x v="21"/>
    <x v="0"/>
  </r>
  <r>
    <x v="34"/>
    <x v="22"/>
    <x v="33"/>
    <x v="1"/>
    <x v="2"/>
    <x v="1"/>
    <x v="19"/>
    <x v="0"/>
    <x v="0"/>
    <x v="22"/>
    <x v="0"/>
  </r>
  <r>
    <x v="35"/>
    <x v="23"/>
    <x v="34"/>
    <x v="1"/>
    <x v="2"/>
    <x v="1"/>
    <x v="20"/>
    <x v="0"/>
    <x v="0"/>
    <x v="23"/>
    <x v="0"/>
  </r>
  <r>
    <x v="36"/>
    <x v="23"/>
    <x v="35"/>
    <x v="1"/>
    <x v="2"/>
    <x v="1"/>
    <x v="3"/>
    <x v="2"/>
    <x v="1"/>
    <x v="3"/>
    <x v="0"/>
  </r>
  <r>
    <x v="37"/>
    <x v="24"/>
    <x v="36"/>
    <x v="1"/>
    <x v="2"/>
    <x v="1"/>
    <x v="21"/>
    <x v="0"/>
    <x v="0"/>
    <x v="24"/>
    <x v="0"/>
  </r>
  <r>
    <x v="38"/>
    <x v="25"/>
    <x v="37"/>
    <x v="7"/>
    <x v="3"/>
    <x v="2"/>
    <x v="3"/>
    <x v="2"/>
    <x v="1"/>
    <x v="3"/>
    <x v="0"/>
  </r>
  <r>
    <x v="39"/>
    <x v="26"/>
    <x v="38"/>
    <x v="0"/>
    <x v="4"/>
    <x v="0"/>
    <x v="3"/>
    <x v="2"/>
    <x v="1"/>
    <x v="3"/>
    <x v="0"/>
  </r>
  <r>
    <x v="40"/>
    <x v="27"/>
    <x v="39"/>
    <x v="8"/>
    <x v="4"/>
    <x v="0"/>
    <x v="3"/>
    <x v="2"/>
    <x v="1"/>
    <x v="3"/>
    <x v="0"/>
  </r>
  <r>
    <x v="41"/>
    <x v="27"/>
    <x v="40"/>
    <x v="8"/>
    <x v="4"/>
    <x v="0"/>
    <x v="13"/>
    <x v="0"/>
    <x v="0"/>
    <x v="25"/>
    <x v="0"/>
  </r>
  <r>
    <x v="42"/>
    <x v="27"/>
    <x v="25"/>
    <x v="8"/>
    <x v="4"/>
    <x v="0"/>
    <x v="3"/>
    <x v="2"/>
    <x v="1"/>
    <x v="3"/>
    <x v="0"/>
  </r>
  <r>
    <x v="43"/>
    <x v="3"/>
    <x v="41"/>
    <x v="2"/>
    <x v="4"/>
    <x v="0"/>
    <x v="3"/>
    <x v="2"/>
    <x v="1"/>
    <x v="3"/>
    <x v="0"/>
  </r>
  <r>
    <x v="44"/>
    <x v="28"/>
    <x v="42"/>
    <x v="0"/>
    <x v="4"/>
    <x v="0"/>
    <x v="5"/>
    <x v="15"/>
    <x v="0"/>
    <x v="26"/>
    <x v="0"/>
  </r>
  <r>
    <x v="45"/>
    <x v="29"/>
    <x v="43"/>
    <x v="0"/>
    <x v="4"/>
    <x v="0"/>
    <x v="3"/>
    <x v="2"/>
    <x v="1"/>
    <x v="3"/>
    <x v="0"/>
  </r>
  <r>
    <x v="46"/>
    <x v="30"/>
    <x v="44"/>
    <x v="0"/>
    <x v="4"/>
    <x v="1"/>
    <x v="3"/>
    <x v="2"/>
    <x v="1"/>
    <x v="3"/>
    <x v="0"/>
  </r>
  <r>
    <x v="47"/>
    <x v="31"/>
    <x v="45"/>
    <x v="0"/>
    <x v="4"/>
    <x v="1"/>
    <x v="3"/>
    <x v="2"/>
    <x v="1"/>
    <x v="3"/>
    <x v="0"/>
  </r>
  <r>
    <x v="48"/>
    <x v="32"/>
    <x v="46"/>
    <x v="4"/>
    <x v="4"/>
    <x v="1"/>
    <x v="3"/>
    <x v="2"/>
    <x v="1"/>
    <x v="3"/>
    <x v="0"/>
  </r>
  <r>
    <x v="49"/>
    <x v="33"/>
    <x v="47"/>
    <x v="9"/>
    <x v="5"/>
    <x v="0"/>
    <x v="22"/>
    <x v="0"/>
    <x v="0"/>
    <x v="27"/>
    <x v="0"/>
  </r>
  <r>
    <x v="50"/>
    <x v="34"/>
    <x v="48"/>
    <x v="10"/>
    <x v="5"/>
    <x v="0"/>
    <x v="3"/>
    <x v="2"/>
    <x v="1"/>
    <x v="3"/>
    <x v="0"/>
  </r>
  <r>
    <x v="51"/>
    <x v="35"/>
    <x v="49"/>
    <x v="0"/>
    <x v="5"/>
    <x v="0"/>
    <x v="3"/>
    <x v="2"/>
    <x v="1"/>
    <x v="3"/>
    <x v="0"/>
  </r>
  <r>
    <x v="52"/>
    <x v="36"/>
    <x v="50"/>
    <x v="5"/>
    <x v="5"/>
    <x v="1"/>
    <x v="6"/>
    <x v="9"/>
    <x v="0"/>
    <x v="1"/>
    <x v="0"/>
  </r>
  <r>
    <x v="53"/>
    <x v="37"/>
    <x v="51"/>
    <x v="0"/>
    <x v="4"/>
    <x v="0"/>
    <x v="3"/>
    <x v="0"/>
    <x v="0"/>
    <x v="3"/>
    <x v="0"/>
  </r>
  <r>
    <x v="54"/>
    <x v="37"/>
    <x v="52"/>
    <x v="0"/>
    <x v="4"/>
    <x v="1"/>
    <x v="3"/>
    <x v="0"/>
    <x v="0"/>
    <x v="3"/>
    <x v="0"/>
  </r>
  <r>
    <x v="55"/>
    <x v="38"/>
    <x v="53"/>
    <x v="7"/>
    <x v="6"/>
    <x v="2"/>
    <x v="3"/>
    <x v="2"/>
    <x v="1"/>
    <x v="3"/>
    <x v="0"/>
  </r>
  <r>
    <x v="56"/>
    <x v="38"/>
    <x v="54"/>
    <x v="7"/>
    <x v="6"/>
    <x v="2"/>
    <x v="16"/>
    <x v="0"/>
    <x v="0"/>
    <x v="7"/>
    <x v="0"/>
  </r>
  <r>
    <x v="57"/>
    <x v="38"/>
    <x v="55"/>
    <x v="7"/>
    <x v="6"/>
    <x v="2"/>
    <x v="23"/>
    <x v="0"/>
    <x v="0"/>
    <x v="28"/>
    <x v="0"/>
  </r>
  <r>
    <x v="58"/>
    <x v="38"/>
    <x v="56"/>
    <x v="7"/>
    <x v="6"/>
    <x v="2"/>
    <x v="11"/>
    <x v="0"/>
    <x v="0"/>
    <x v="29"/>
    <x v="0"/>
  </r>
  <r>
    <x v="59"/>
    <x v="38"/>
    <x v="57"/>
    <x v="7"/>
    <x v="6"/>
    <x v="2"/>
    <x v="3"/>
    <x v="2"/>
    <x v="1"/>
    <x v="3"/>
    <x v="0"/>
  </r>
  <r>
    <x v="60"/>
    <x v="38"/>
    <x v="58"/>
    <x v="7"/>
    <x v="6"/>
    <x v="2"/>
    <x v="3"/>
    <x v="2"/>
    <x v="1"/>
    <x v="3"/>
    <x v="0"/>
  </r>
  <r>
    <x v="61"/>
    <x v="39"/>
    <x v="59"/>
    <x v="0"/>
    <x v="6"/>
    <x v="2"/>
    <x v="3"/>
    <x v="2"/>
    <x v="1"/>
    <x v="3"/>
    <x v="0"/>
  </r>
  <r>
    <x v="62"/>
    <x v="40"/>
    <x v="58"/>
    <x v="7"/>
    <x v="6"/>
    <x v="2"/>
    <x v="3"/>
    <x v="2"/>
    <x v="1"/>
    <x v="3"/>
    <x v="0"/>
  </r>
  <r>
    <x v="63"/>
    <x v="40"/>
    <x v="57"/>
    <x v="7"/>
    <x v="6"/>
    <x v="2"/>
    <x v="3"/>
    <x v="0"/>
    <x v="0"/>
    <x v="3"/>
    <x v="0"/>
  </r>
  <r>
    <x v="64"/>
    <x v="40"/>
    <x v="56"/>
    <x v="7"/>
    <x v="6"/>
    <x v="2"/>
    <x v="3"/>
    <x v="0"/>
    <x v="0"/>
    <x v="3"/>
    <x v="0"/>
  </r>
  <r>
    <x v="65"/>
    <x v="40"/>
    <x v="55"/>
    <x v="7"/>
    <x v="6"/>
    <x v="2"/>
    <x v="3"/>
    <x v="0"/>
    <x v="0"/>
    <x v="3"/>
    <x v="0"/>
  </r>
  <r>
    <x v="66"/>
    <x v="40"/>
    <x v="54"/>
    <x v="7"/>
    <x v="6"/>
    <x v="2"/>
    <x v="3"/>
    <x v="0"/>
    <x v="0"/>
    <x v="3"/>
    <x v="0"/>
  </r>
  <r>
    <x v="67"/>
    <x v="40"/>
    <x v="53"/>
    <x v="7"/>
    <x v="6"/>
    <x v="2"/>
    <x v="3"/>
    <x v="0"/>
    <x v="0"/>
    <x v="3"/>
    <x v="0"/>
  </r>
  <r>
    <x v="68"/>
    <x v="41"/>
    <x v="58"/>
    <x v="7"/>
    <x v="6"/>
    <x v="2"/>
    <x v="3"/>
    <x v="2"/>
    <x v="1"/>
    <x v="3"/>
    <x v="0"/>
  </r>
  <r>
    <x v="69"/>
    <x v="41"/>
    <x v="57"/>
    <x v="7"/>
    <x v="6"/>
    <x v="2"/>
    <x v="3"/>
    <x v="2"/>
    <x v="1"/>
    <x v="3"/>
    <x v="0"/>
  </r>
  <r>
    <x v="70"/>
    <x v="41"/>
    <x v="56"/>
    <x v="7"/>
    <x v="6"/>
    <x v="2"/>
    <x v="3"/>
    <x v="2"/>
    <x v="1"/>
    <x v="3"/>
    <x v="0"/>
  </r>
  <r>
    <x v="71"/>
    <x v="41"/>
    <x v="55"/>
    <x v="7"/>
    <x v="6"/>
    <x v="2"/>
    <x v="24"/>
    <x v="0"/>
    <x v="0"/>
    <x v="13"/>
    <x v="0"/>
  </r>
  <r>
    <x v="72"/>
    <x v="41"/>
    <x v="54"/>
    <x v="7"/>
    <x v="6"/>
    <x v="2"/>
    <x v="3"/>
    <x v="2"/>
    <x v="1"/>
    <x v="3"/>
    <x v="0"/>
  </r>
  <r>
    <x v="73"/>
    <x v="41"/>
    <x v="53"/>
    <x v="7"/>
    <x v="6"/>
    <x v="2"/>
    <x v="3"/>
    <x v="2"/>
    <x v="1"/>
    <x v="3"/>
    <x v="0"/>
  </r>
  <r>
    <x v="74"/>
    <x v="42"/>
    <x v="60"/>
    <x v="0"/>
    <x v="6"/>
    <x v="2"/>
    <x v="3"/>
    <x v="16"/>
    <x v="1"/>
    <x v="30"/>
    <x v="0"/>
  </r>
  <r>
    <x v="75"/>
    <x v="43"/>
    <x v="58"/>
    <x v="7"/>
    <x v="6"/>
    <x v="2"/>
    <x v="3"/>
    <x v="2"/>
    <x v="1"/>
    <x v="3"/>
    <x v="0"/>
  </r>
  <r>
    <x v="76"/>
    <x v="43"/>
    <x v="57"/>
    <x v="7"/>
    <x v="6"/>
    <x v="2"/>
    <x v="3"/>
    <x v="2"/>
    <x v="1"/>
    <x v="3"/>
    <x v="0"/>
  </r>
  <r>
    <x v="77"/>
    <x v="43"/>
    <x v="56"/>
    <x v="7"/>
    <x v="6"/>
    <x v="2"/>
    <x v="3"/>
    <x v="0"/>
    <x v="0"/>
    <x v="3"/>
    <x v="0"/>
  </r>
  <r>
    <x v="78"/>
    <x v="43"/>
    <x v="55"/>
    <x v="7"/>
    <x v="6"/>
    <x v="2"/>
    <x v="3"/>
    <x v="0"/>
    <x v="0"/>
    <x v="3"/>
    <x v="0"/>
  </r>
  <r>
    <x v="79"/>
    <x v="43"/>
    <x v="54"/>
    <x v="7"/>
    <x v="6"/>
    <x v="2"/>
    <x v="3"/>
    <x v="0"/>
    <x v="0"/>
    <x v="3"/>
    <x v="0"/>
  </r>
  <r>
    <x v="80"/>
    <x v="43"/>
    <x v="53"/>
    <x v="7"/>
    <x v="6"/>
    <x v="2"/>
    <x v="3"/>
    <x v="2"/>
    <x v="1"/>
    <x v="3"/>
    <x v="0"/>
  </r>
  <r>
    <x v="81"/>
    <x v="44"/>
    <x v="61"/>
    <x v="6"/>
    <x v="7"/>
    <x v="3"/>
    <x v="3"/>
    <x v="0"/>
    <x v="0"/>
    <x v="3"/>
    <x v="0"/>
  </r>
  <r>
    <x v="82"/>
    <x v="45"/>
    <x v="62"/>
    <x v="4"/>
    <x v="7"/>
    <x v="3"/>
    <x v="3"/>
    <x v="0"/>
    <x v="0"/>
    <x v="3"/>
    <x v="0"/>
  </r>
  <r>
    <x v="83"/>
    <x v="46"/>
    <x v="63"/>
    <x v="4"/>
    <x v="7"/>
    <x v="3"/>
    <x v="3"/>
    <x v="0"/>
    <x v="0"/>
    <x v="3"/>
    <x v="0"/>
  </r>
  <r>
    <x v="84"/>
    <x v="46"/>
    <x v="64"/>
    <x v="11"/>
    <x v="7"/>
    <x v="3"/>
    <x v="3"/>
    <x v="2"/>
    <x v="1"/>
    <x v="3"/>
    <x v="0"/>
  </r>
  <r>
    <x v="85"/>
    <x v="27"/>
    <x v="65"/>
    <x v="8"/>
    <x v="7"/>
    <x v="3"/>
    <x v="3"/>
    <x v="0"/>
    <x v="0"/>
    <x v="3"/>
    <x v="0"/>
  </r>
  <r>
    <x v="86"/>
    <x v="47"/>
    <x v="66"/>
    <x v="12"/>
    <x v="7"/>
    <x v="3"/>
    <x v="3"/>
    <x v="17"/>
    <x v="0"/>
    <x v="31"/>
    <x v="0"/>
  </r>
  <r>
    <x v="87"/>
    <x v="48"/>
    <x v="67"/>
    <x v="4"/>
    <x v="7"/>
    <x v="3"/>
    <x v="25"/>
    <x v="0"/>
    <x v="0"/>
    <x v="32"/>
    <x v="0"/>
  </r>
  <r>
    <x v="88"/>
    <x v="48"/>
    <x v="68"/>
    <x v="12"/>
    <x v="7"/>
    <x v="3"/>
    <x v="3"/>
    <x v="2"/>
    <x v="1"/>
    <x v="3"/>
    <x v="0"/>
  </r>
  <r>
    <x v="89"/>
    <x v="49"/>
    <x v="69"/>
    <x v="13"/>
    <x v="7"/>
    <x v="3"/>
    <x v="3"/>
    <x v="0"/>
    <x v="0"/>
    <x v="3"/>
    <x v="0"/>
  </r>
  <r>
    <x v="90"/>
    <x v="50"/>
    <x v="70"/>
    <x v="14"/>
    <x v="7"/>
    <x v="3"/>
    <x v="3"/>
    <x v="0"/>
    <x v="0"/>
    <x v="3"/>
    <x v="0"/>
  </r>
  <r>
    <x v="91"/>
    <x v="51"/>
    <x v="71"/>
    <x v="14"/>
    <x v="7"/>
    <x v="3"/>
    <x v="3"/>
    <x v="0"/>
    <x v="0"/>
    <x v="3"/>
    <x v="0"/>
  </r>
  <r>
    <x v="92"/>
    <x v="52"/>
    <x v="72"/>
    <x v="1"/>
    <x v="7"/>
    <x v="3"/>
    <x v="3"/>
    <x v="0"/>
    <x v="0"/>
    <x v="3"/>
    <x v="0"/>
  </r>
  <r>
    <x v="93"/>
    <x v="53"/>
    <x v="73"/>
    <x v="13"/>
    <x v="8"/>
    <x v="4"/>
    <x v="3"/>
    <x v="2"/>
    <x v="1"/>
    <x v="3"/>
    <x v="0"/>
  </r>
  <r>
    <x v="94"/>
    <x v="54"/>
    <x v="74"/>
    <x v="8"/>
    <x v="8"/>
    <x v="4"/>
    <x v="3"/>
    <x v="2"/>
    <x v="1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6:D38" firstHeaderRow="1" firstDataRow="2" firstDataCol="1"/>
  <pivotFields count="14">
    <pivotField compact="0" showAll="0">
      <items count="3">
        <item x="1"/>
        <item x="0"/>
        <item t="default"/>
      </items>
    </pivotField>
    <pivotField axis="axisCol" compact="0" showAll="0">
      <items count="4">
        <item x="0"/>
        <item m="1" x="2"/>
        <item x="1"/>
        <item t="default"/>
      </items>
    </pivotField>
    <pivotField axis="axisRow" compact="0" sortType="ascending" showAll="0">
      <items count="134">
        <item m="1" x="36"/>
        <item x="13"/>
        <item m="1" x="112"/>
        <item m="1" x="125"/>
        <item x="29"/>
        <item m="1" x="71"/>
        <item m="1" x="72"/>
        <item m="1" x="73"/>
        <item x="18"/>
        <item m="1" x="74"/>
        <item m="1" x="75"/>
        <item m="1" x="76"/>
        <item m="1" x="40"/>
        <item x="9"/>
        <item m="1" x="46"/>
        <item m="1" x="77"/>
        <item m="1" x="78"/>
        <item m="1" x="79"/>
        <item m="1" x="57"/>
        <item m="1" x="42"/>
        <item m="1" x="81"/>
        <item x="28"/>
        <item m="1" x="82"/>
        <item x="6"/>
        <item m="1" x="83"/>
        <item m="1" x="84"/>
        <item m="1" x="85"/>
        <item m="1" x="86"/>
        <item m="1" x="87"/>
        <item m="1" x="49"/>
        <item m="1" x="88"/>
        <item m="1" x="89"/>
        <item m="1" x="90"/>
        <item m="1" x="91"/>
        <item m="1" x="92"/>
        <item m="1" x="93"/>
        <item x="1"/>
        <item m="1" x="94"/>
        <item m="1" x="95"/>
        <item m="1" x="96"/>
        <item m="1" x="97"/>
        <item x="8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80"/>
        <item m="1" x="111"/>
        <item m="1" x="113"/>
        <item m="1" x="35"/>
        <item m="1" x="132"/>
        <item m="1" x="114"/>
        <item m="1" x="115"/>
        <item m="1" x="116"/>
        <item m="1" x="117"/>
        <item m="1" x="118"/>
        <item m="1" x="119"/>
        <item m="1" x="120"/>
        <item m="1" x="121"/>
        <item x="26"/>
        <item m="1" x="131"/>
        <item m="1" x="38"/>
        <item m="1" x="127"/>
        <item m="1" x="122"/>
        <item m="1" x="130"/>
        <item x="3"/>
        <item m="1" x="129"/>
        <item m="1" x="126"/>
        <item m="1" x="123"/>
        <item m="1" x="56"/>
        <item m="1" x="128"/>
        <item m="1" x="124"/>
        <item m="1" x="55"/>
        <item m="1" x="43"/>
        <item x="2"/>
        <item m="1" x="41"/>
        <item m="1" x="70"/>
        <item x="27"/>
        <item x="12"/>
        <item x="7"/>
        <item x="10"/>
        <item x="5"/>
        <item x="4"/>
        <item m="1" x="39"/>
        <item m="1" x="48"/>
        <item m="1" x="37"/>
        <item m="1" x="50"/>
        <item x="14"/>
        <item x="0"/>
        <item m="1" x="58"/>
        <item m="1" x="59"/>
        <item m="1" x="60"/>
        <item x="19"/>
        <item m="1" x="45"/>
        <item m="1" x="51"/>
        <item m="1" x="52"/>
        <item m="1" x="53"/>
        <item m="1" x="54"/>
        <item x="15"/>
        <item x="24"/>
        <item m="1" x="30"/>
        <item m="1" x="34"/>
        <item m="1" x="61"/>
        <item m="1" x="62"/>
        <item m="1" x="33"/>
        <item m="1" x="63"/>
        <item m="1" x="64"/>
        <item m="1" x="65"/>
        <item m="1" x="66"/>
        <item m="1" x="67"/>
        <item m="1" x="68"/>
        <item m="1" x="69"/>
        <item m="1" x="32"/>
        <item m="1" x="44"/>
        <item m="1" x="47"/>
        <item x="11"/>
        <item x="17"/>
        <item x="20"/>
        <item x="21"/>
        <item x="22"/>
        <item x="23"/>
        <item x="25"/>
        <item m="1" x="31"/>
        <item x="16"/>
        <item t="default"/>
      </items>
      <autoSortScope>
        <pivotArea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compact="0" showAll="0">
      <items count="33">
        <item x="31"/>
        <item x="1"/>
        <item x="3"/>
        <item x="4"/>
        <item x="2"/>
        <item x="20"/>
        <item x="21"/>
        <item x="5"/>
        <item x="14"/>
        <item x="13"/>
        <item x="6"/>
        <item x="0"/>
        <item x="7"/>
        <item x="8"/>
        <item x="9"/>
        <item x="10"/>
        <item x="11"/>
        <item x="12"/>
        <item x="15"/>
        <item x="16"/>
        <item x="18"/>
        <item x="19"/>
        <item x="22"/>
        <item x="23"/>
        <item x="24"/>
        <item x="25"/>
        <item x="26"/>
        <item x="27"/>
        <item x="17"/>
        <item x="28"/>
        <item x="29"/>
        <item x="30"/>
        <item t="default"/>
      </items>
    </pivotField>
    <pivotField compact="0" showAll="0">
      <items count="13">
        <item x="11"/>
        <item x="5"/>
        <item x="7"/>
        <item x="3"/>
        <item x="1"/>
        <item x="2"/>
        <item x="8"/>
        <item x="4"/>
        <item x="0"/>
        <item x="6"/>
        <item x="9"/>
        <item x="10"/>
        <item t="default"/>
      </items>
    </pivotField>
    <pivotField compact="0" showAll="0">
      <items count="8">
        <item x="0"/>
        <item x="5"/>
        <item x="2"/>
        <item x="6"/>
        <item x="1"/>
        <item x="4"/>
        <item x="3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dataField="1" compact="0" showAll="0">
      <items count="26">
        <item x="24"/>
        <item x="18"/>
        <item x="19"/>
        <item x="12"/>
        <item x="15"/>
        <item x="13"/>
        <item x="6"/>
        <item x="0"/>
        <item x="2"/>
        <item x="3"/>
        <item x="4"/>
        <item x="5"/>
        <item x="7"/>
        <item x="8"/>
        <item x="9"/>
        <item x="10"/>
        <item x="11"/>
        <item x="14"/>
        <item x="16"/>
        <item x="17"/>
        <item x="20"/>
        <item x="1"/>
        <item x="21"/>
        <item x="22"/>
        <item x="2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2"/>
  </rowFields>
  <rowItems count="31">
    <i>
      <x v="1"/>
    </i>
    <i>
      <x v="4"/>
    </i>
    <i>
      <x v="8"/>
    </i>
    <i>
      <x v="13"/>
    </i>
    <i>
      <x v="21"/>
    </i>
    <i>
      <x v="23"/>
    </i>
    <i>
      <x v="36"/>
    </i>
    <i>
      <x v="41"/>
    </i>
    <i>
      <x v="68"/>
    </i>
    <i>
      <x v="74"/>
    </i>
    <i>
      <x v="83"/>
    </i>
    <i>
      <x v="86"/>
    </i>
    <i>
      <x v="87"/>
    </i>
    <i>
      <x v="88"/>
    </i>
    <i>
      <x v="89"/>
    </i>
    <i>
      <x v="90"/>
    </i>
    <i>
      <x v="91"/>
    </i>
    <i>
      <x v="96"/>
    </i>
    <i>
      <x v="97"/>
    </i>
    <i>
      <x v="101"/>
    </i>
    <i>
      <x v="107"/>
    </i>
    <i>
      <x v="108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2"/>
    </i>
    <i t="grand">
      <x/>
    </i>
  </rowItems>
  <colFields count="1">
    <field x="1"/>
  </colFields>
  <colItems count="3">
    <i>
      <x/>
    </i>
    <i>
      <x v="2"/>
    </i>
    <i t="grand">
      <x/>
    </i>
  </colItems>
  <dataFields count="1">
    <dataField name="求和项:出入库数量" fld="7" baseField="0" baseItem="0"/>
  </dataFields>
  <formats count="7">
    <format dxfId="0">
      <pivotArea type="all" dataOnly="0" outline="0" fieldPosition="0"/>
    </format>
    <format dxfId="1">
      <pivotArea field="1" type="button" dataOnly="0" labelOnly="1" outline="0" fieldPosition="0"/>
    </format>
    <format dxfId="2">
      <pivotArea dataOnly="0" labelOnly="1" fieldPosition="0">
        <references count="1">
          <reference field="1" count="1">
            <x v="0"/>
          </reference>
        </references>
      </pivotArea>
    </format>
    <format dxfId="3">
      <pivotArea dataOnly="0" labelOnly="1" fieldPosition="0">
        <references count="1">
          <reference field="1" count="1">
            <x v="1"/>
          </reference>
        </references>
      </pivotArea>
    </format>
    <format dxfId="4">
      <pivotArea dataOnly="0" labelOnly="1" fieldPosition="0">
        <references count="1">
          <reference field="1" count="1">
            <x v="2"/>
          </reference>
        </references>
      </pivotArea>
    </format>
    <format dxfId="5">
      <pivotArea dataOnly="0" labelOnly="1" grandCol="1" fieldPosition="0"/>
    </format>
    <format dxfId="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H6:J39" firstHeaderRow="1" firstDataRow="1" firstDataCol="2"/>
  <pivotFields count="14">
    <pivotField compact="0" showAll="0">
      <items count="3">
        <item x="1"/>
        <item x="0"/>
        <item t="default"/>
      </items>
    </pivotField>
    <pivotField axis="axisRow" compact="0" showAll="0">
      <items count="4">
        <item m="1" x="2"/>
        <item x="0"/>
        <item x="1"/>
        <item t="default"/>
      </items>
    </pivotField>
    <pivotField axis="axisRow" compact="0" sortType="ascending" showAll="0">
      <items count="134">
        <item m="1" x="36"/>
        <item x="13"/>
        <item m="1" x="112"/>
        <item m="1" x="125"/>
        <item x="29"/>
        <item m="1" x="71"/>
        <item m="1" x="72"/>
        <item m="1" x="73"/>
        <item x="18"/>
        <item m="1" x="74"/>
        <item m="1" x="75"/>
        <item m="1" x="76"/>
        <item m="1" x="40"/>
        <item x="9"/>
        <item m="1" x="46"/>
        <item m="1" x="77"/>
        <item m="1" x="78"/>
        <item m="1" x="79"/>
        <item m="1" x="57"/>
        <item m="1" x="42"/>
        <item m="1" x="81"/>
        <item x="28"/>
        <item m="1" x="82"/>
        <item x="6"/>
        <item m="1" x="83"/>
        <item m="1" x="84"/>
        <item m="1" x="85"/>
        <item m="1" x="86"/>
        <item m="1" x="87"/>
        <item m="1" x="49"/>
        <item m="1" x="88"/>
        <item m="1" x="89"/>
        <item m="1" x="90"/>
        <item m="1" x="91"/>
        <item m="1" x="92"/>
        <item m="1" x="93"/>
        <item x="1"/>
        <item m="1" x="94"/>
        <item m="1" x="95"/>
        <item m="1" x="96"/>
        <item m="1" x="97"/>
        <item x="8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80"/>
        <item m="1" x="111"/>
        <item m="1" x="113"/>
        <item m="1" x="35"/>
        <item m="1" x="132"/>
        <item m="1" x="114"/>
        <item m="1" x="115"/>
        <item m="1" x="116"/>
        <item m="1" x="117"/>
        <item m="1" x="118"/>
        <item m="1" x="119"/>
        <item m="1" x="120"/>
        <item m="1" x="121"/>
        <item x="26"/>
        <item m="1" x="131"/>
        <item m="1" x="38"/>
        <item m="1" x="127"/>
        <item m="1" x="122"/>
        <item m="1" x="130"/>
        <item x="3"/>
        <item m="1" x="129"/>
        <item m="1" x="126"/>
        <item m="1" x="123"/>
        <item m="1" x="56"/>
        <item m="1" x="128"/>
        <item m="1" x="124"/>
        <item m="1" x="55"/>
        <item m="1" x="43"/>
        <item x="2"/>
        <item m="1" x="41"/>
        <item m="1" x="70"/>
        <item x="27"/>
        <item x="12"/>
        <item x="7"/>
        <item x="10"/>
        <item x="5"/>
        <item x="4"/>
        <item m="1" x="39"/>
        <item m="1" x="48"/>
        <item m="1" x="37"/>
        <item m="1" x="50"/>
        <item x="14"/>
        <item x="0"/>
        <item m="1" x="58"/>
        <item m="1" x="59"/>
        <item m="1" x="60"/>
        <item x="19"/>
        <item m="1" x="45"/>
        <item m="1" x="51"/>
        <item m="1" x="52"/>
        <item m="1" x="53"/>
        <item m="1" x="54"/>
        <item x="15"/>
        <item x="24"/>
        <item m="1" x="30"/>
        <item m="1" x="34"/>
        <item m="1" x="61"/>
        <item m="1" x="62"/>
        <item m="1" x="33"/>
        <item m="1" x="63"/>
        <item m="1" x="64"/>
        <item m="1" x="65"/>
        <item m="1" x="66"/>
        <item m="1" x="67"/>
        <item m="1" x="68"/>
        <item m="1" x="69"/>
        <item m="1" x="32"/>
        <item m="1" x="44"/>
        <item m="1" x="47"/>
        <item x="11"/>
        <item x="17"/>
        <item x="20"/>
        <item x="21"/>
        <item x="22"/>
        <item x="23"/>
        <item x="25"/>
        <item m="1" x="31"/>
        <item x="1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3">
        <item x="31"/>
        <item x="1"/>
        <item x="3"/>
        <item x="4"/>
        <item x="2"/>
        <item x="20"/>
        <item x="21"/>
        <item x="5"/>
        <item x="14"/>
        <item x="13"/>
        <item x="6"/>
        <item x="0"/>
        <item x="7"/>
        <item x="8"/>
        <item x="9"/>
        <item x="10"/>
        <item x="11"/>
        <item x="12"/>
        <item x="15"/>
        <item x="16"/>
        <item x="18"/>
        <item x="19"/>
        <item x="22"/>
        <item x="23"/>
        <item x="24"/>
        <item x="25"/>
        <item x="26"/>
        <item x="27"/>
        <item x="17"/>
        <item x="28"/>
        <item x="29"/>
        <item x="30"/>
        <item t="default"/>
      </items>
    </pivotField>
    <pivotField compact="0" showAll="0">
      <items count="13">
        <item x="11"/>
        <item x="5"/>
        <item x="7"/>
        <item x="3"/>
        <item x="1"/>
        <item x="2"/>
        <item x="8"/>
        <item x="4"/>
        <item x="0"/>
        <item x="6"/>
        <item x="9"/>
        <item x="10"/>
        <item t="default"/>
      </items>
    </pivotField>
    <pivotField compact="0" showAll="0">
      <items count="8">
        <item x="0"/>
        <item x="5"/>
        <item x="2"/>
        <item x="6"/>
        <item x="1"/>
        <item x="4"/>
        <item x="3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dataField="1" compact="0" showAll="0">
      <items count="26">
        <item x="24"/>
        <item x="18"/>
        <item x="19"/>
        <item x="12"/>
        <item x="15"/>
        <item x="13"/>
        <item x="6"/>
        <item x="0"/>
        <item x="2"/>
        <item x="3"/>
        <item x="4"/>
        <item x="5"/>
        <item x="7"/>
        <item x="8"/>
        <item x="9"/>
        <item x="10"/>
        <item x="11"/>
        <item x="14"/>
        <item x="16"/>
        <item x="17"/>
        <item x="20"/>
        <item x="1"/>
        <item x="21"/>
        <item x="22"/>
        <item x="2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2">
    <field x="1"/>
    <field x="2"/>
  </rowFields>
  <rowItems count="33">
    <i>
      <x v="1"/>
    </i>
    <i r="1">
      <x v="1"/>
    </i>
    <i r="1">
      <x v="127"/>
    </i>
    <i r="1">
      <x v="128"/>
    </i>
    <i r="1">
      <x v="129"/>
    </i>
    <i r="1">
      <x v="132"/>
    </i>
    <i r="1">
      <x v="96"/>
    </i>
    <i r="1">
      <x v="41"/>
    </i>
    <i r="1">
      <x v="101"/>
    </i>
    <i r="1">
      <x v="89"/>
    </i>
    <i r="1">
      <x v="125"/>
    </i>
    <i r="1">
      <x v="88"/>
    </i>
    <i r="1">
      <x v="126"/>
    </i>
    <i r="1">
      <x v="23"/>
    </i>
    <i r="1">
      <x v="68"/>
    </i>
    <i r="1">
      <x v="91"/>
    </i>
    <i r="1">
      <x v="97"/>
    </i>
    <i r="1">
      <x v="8"/>
    </i>
    <i r="1">
      <x v="74"/>
    </i>
    <i r="1">
      <x v="13"/>
    </i>
    <i r="1">
      <x v="36"/>
    </i>
    <i r="1">
      <x v="130"/>
    </i>
    <i r="1">
      <x v="21"/>
    </i>
    <i r="1">
      <x v="107"/>
    </i>
    <i r="1">
      <x v="86"/>
    </i>
    <i r="1">
      <x v="108"/>
    </i>
    <i r="1">
      <x v="124"/>
    </i>
    <i r="1">
      <x v="90"/>
    </i>
    <i r="1">
      <x v="83"/>
    </i>
    <i r="1">
      <x v="87"/>
    </i>
    <i>
      <x v="2"/>
    </i>
    <i r="1">
      <x v="4"/>
    </i>
    <i t="grand">
      <x/>
    </i>
  </rowItems>
  <colItems count="1">
    <i/>
  </colItems>
  <dataFields count="1">
    <dataField name="求和项:出入库数量" fld="7" baseField="0" baseItem="0"/>
  </dataFields>
  <formats count="4">
    <format dxfId="7">
      <pivotArea type="all" dataOnly="0" outline="0" fieldPosition="0"/>
    </format>
    <format dxfId="8">
      <pivotArea field="1" type="button" dataOnly="0" labelOnly="1" outline="0" fieldPosition="0"/>
    </format>
    <format dxfId="9">
      <pivotArea dataOnly="0" labelOnly="1" grandCol="1" fieldPosition="0"/>
    </format>
    <format dxfId="1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N6:P39" firstHeaderRow="1" firstDataRow="1" firstDataCol="2"/>
  <pivotFields count="14">
    <pivotField compact="0" showAll="0">
      <items count="3">
        <item x="1"/>
        <item x="0"/>
        <item t="default"/>
      </items>
    </pivotField>
    <pivotField axis="axisRow" compact="0" showAll="0">
      <items count="4">
        <item m="1" x="2"/>
        <item x="0"/>
        <item x="1"/>
        <item t="default"/>
      </items>
    </pivotField>
    <pivotField axis="axisRow" compact="0" sortType="ascending" showAll="0">
      <items count="134">
        <item m="1" x="36"/>
        <item x="13"/>
        <item m="1" x="112"/>
        <item m="1" x="125"/>
        <item x="29"/>
        <item m="1" x="71"/>
        <item m="1" x="72"/>
        <item m="1" x="73"/>
        <item x="18"/>
        <item m="1" x="74"/>
        <item m="1" x="75"/>
        <item m="1" x="76"/>
        <item m="1" x="40"/>
        <item x="9"/>
        <item m="1" x="46"/>
        <item m="1" x="77"/>
        <item m="1" x="78"/>
        <item m="1" x="79"/>
        <item m="1" x="57"/>
        <item m="1" x="42"/>
        <item m="1" x="81"/>
        <item x="28"/>
        <item m="1" x="82"/>
        <item x="6"/>
        <item m="1" x="83"/>
        <item m="1" x="84"/>
        <item m="1" x="85"/>
        <item m="1" x="86"/>
        <item m="1" x="87"/>
        <item m="1" x="49"/>
        <item m="1" x="88"/>
        <item m="1" x="89"/>
        <item m="1" x="90"/>
        <item m="1" x="91"/>
        <item m="1" x="92"/>
        <item m="1" x="93"/>
        <item x="1"/>
        <item m="1" x="94"/>
        <item m="1" x="95"/>
        <item m="1" x="96"/>
        <item m="1" x="97"/>
        <item x="8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80"/>
        <item m="1" x="111"/>
        <item m="1" x="113"/>
        <item m="1" x="35"/>
        <item m="1" x="132"/>
        <item m="1" x="114"/>
        <item m="1" x="115"/>
        <item m="1" x="116"/>
        <item m="1" x="117"/>
        <item m="1" x="118"/>
        <item m="1" x="119"/>
        <item m="1" x="120"/>
        <item m="1" x="121"/>
        <item x="26"/>
        <item m="1" x="131"/>
        <item m="1" x="38"/>
        <item m="1" x="127"/>
        <item m="1" x="122"/>
        <item m="1" x="130"/>
        <item x="3"/>
        <item m="1" x="129"/>
        <item m="1" x="126"/>
        <item m="1" x="123"/>
        <item m="1" x="56"/>
        <item m="1" x="128"/>
        <item m="1" x="124"/>
        <item m="1" x="55"/>
        <item m="1" x="43"/>
        <item x="2"/>
        <item m="1" x="41"/>
        <item m="1" x="70"/>
        <item x="27"/>
        <item x="12"/>
        <item x="7"/>
        <item x="10"/>
        <item x="5"/>
        <item x="4"/>
        <item m="1" x="39"/>
        <item m="1" x="48"/>
        <item m="1" x="37"/>
        <item m="1" x="50"/>
        <item x="14"/>
        <item x="0"/>
        <item m="1" x="58"/>
        <item m="1" x="59"/>
        <item m="1" x="60"/>
        <item x="19"/>
        <item m="1" x="45"/>
        <item m="1" x="51"/>
        <item m="1" x="52"/>
        <item m="1" x="53"/>
        <item m="1" x="54"/>
        <item x="15"/>
        <item x="24"/>
        <item m="1" x="30"/>
        <item m="1" x="34"/>
        <item m="1" x="61"/>
        <item m="1" x="62"/>
        <item m="1" x="33"/>
        <item m="1" x="63"/>
        <item m="1" x="64"/>
        <item m="1" x="65"/>
        <item m="1" x="66"/>
        <item m="1" x="67"/>
        <item m="1" x="68"/>
        <item m="1" x="69"/>
        <item m="1" x="32"/>
        <item m="1" x="44"/>
        <item m="1" x="47"/>
        <item x="11"/>
        <item x="17"/>
        <item x="20"/>
        <item x="21"/>
        <item x="22"/>
        <item x="23"/>
        <item x="25"/>
        <item m="1" x="31"/>
        <item x="1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>
      <items count="13">
        <item x="11"/>
        <item x="5"/>
        <item x="7"/>
        <item x="3"/>
        <item x="1"/>
        <item x="2"/>
        <item x="8"/>
        <item x="4"/>
        <item x="0"/>
        <item x="6"/>
        <item x="9"/>
        <item x="10"/>
        <item t="default"/>
      </items>
    </pivotField>
    <pivotField compact="0" showAll="0"/>
    <pivotField compact="0" showAll="0"/>
    <pivotField dataField="1" compact="0" showAll="0">
      <items count="26">
        <item x="24"/>
        <item x="18"/>
        <item x="19"/>
        <item x="12"/>
        <item x="15"/>
        <item x="13"/>
        <item x="6"/>
        <item x="0"/>
        <item x="2"/>
        <item x="3"/>
        <item x="4"/>
        <item x="5"/>
        <item x="7"/>
        <item x="8"/>
        <item x="9"/>
        <item x="10"/>
        <item x="11"/>
        <item x="14"/>
        <item x="16"/>
        <item x="17"/>
        <item x="20"/>
        <item x="1"/>
        <item x="21"/>
        <item x="22"/>
        <item x="23"/>
        <item t="default"/>
      </items>
    </pivotField>
    <pivotField compact="0" showAll="0"/>
    <pivotField compact="0" showAll="0"/>
    <pivotField compact="0" showAll="0"/>
    <pivotField compact="0" showAll="0">
      <items count="3">
        <item x="1"/>
        <item x="0"/>
        <item t="default"/>
      </items>
    </pivotField>
    <pivotField compact="0" showAll="0"/>
    <pivotField compact="0" showAll="0">
      <items count="3">
        <item x="0"/>
        <item x="1"/>
        <item t="default"/>
      </items>
    </pivotField>
  </pivotFields>
  <rowFields count="2">
    <field x="1"/>
    <field x="2"/>
  </rowFields>
  <rowItems count="33">
    <i>
      <x v="1"/>
    </i>
    <i r="1">
      <x v="1"/>
    </i>
    <i r="1">
      <x v="127"/>
    </i>
    <i r="1">
      <x v="128"/>
    </i>
    <i r="1">
      <x v="129"/>
    </i>
    <i r="1">
      <x v="132"/>
    </i>
    <i r="1">
      <x v="96"/>
    </i>
    <i r="1">
      <x v="41"/>
    </i>
    <i r="1">
      <x v="101"/>
    </i>
    <i r="1">
      <x v="89"/>
    </i>
    <i r="1">
      <x v="125"/>
    </i>
    <i r="1">
      <x v="88"/>
    </i>
    <i r="1">
      <x v="126"/>
    </i>
    <i r="1">
      <x v="23"/>
    </i>
    <i r="1">
      <x v="68"/>
    </i>
    <i r="1">
      <x v="91"/>
    </i>
    <i r="1">
      <x v="97"/>
    </i>
    <i r="1">
      <x v="8"/>
    </i>
    <i r="1">
      <x v="74"/>
    </i>
    <i r="1">
      <x v="13"/>
    </i>
    <i r="1">
      <x v="36"/>
    </i>
    <i r="1">
      <x v="130"/>
    </i>
    <i r="1">
      <x v="21"/>
    </i>
    <i r="1">
      <x v="107"/>
    </i>
    <i r="1">
      <x v="86"/>
    </i>
    <i r="1">
      <x v="108"/>
    </i>
    <i r="1">
      <x v="124"/>
    </i>
    <i r="1">
      <x v="90"/>
    </i>
    <i r="1">
      <x v="83"/>
    </i>
    <i r="1">
      <x v="87"/>
    </i>
    <i>
      <x v="2"/>
    </i>
    <i r="1">
      <x v="4"/>
    </i>
    <i t="grand">
      <x/>
    </i>
  </rowItems>
  <colItems count="1">
    <i/>
  </colItems>
  <dataFields count="1">
    <dataField name="求和项:出入库数量" fld="7" baseField="0" baseItem="0"/>
  </dataFields>
  <formats count="4">
    <format dxfId="11">
      <pivotArea type="all" dataOnly="0" outline="0" fieldPosition="0"/>
    </format>
    <format dxfId="12">
      <pivotArea field="1" type="button" dataOnly="0" labelOnly="1" outline="0" fieldPosition="0"/>
    </format>
    <format dxfId="13">
      <pivotArea dataOnly="0" labelOnly="1" grandCol="1" fieldPosition="0"/>
    </format>
    <format dxfId="1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4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3" firstHeaderRow="1" firstDataRow="1" firstDataCol="1"/>
  <pivotFields count="11"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56">
        <item x="13"/>
        <item x="38"/>
        <item x="39"/>
        <item x="40"/>
        <item x="0"/>
        <item x="53"/>
        <item x="12"/>
        <item x="36"/>
        <item x="1"/>
        <item x="10"/>
        <item x="14"/>
        <item x="33"/>
        <item x="41"/>
        <item x="44"/>
        <item x="42"/>
        <item x="43"/>
        <item x="54"/>
        <item x="45"/>
        <item x="22"/>
        <item x="15"/>
        <item x="20"/>
        <item x="46"/>
        <item x="6"/>
        <item x="2"/>
        <item x="7"/>
        <item x="26"/>
        <item x="30"/>
        <item x="31"/>
        <item x="27"/>
        <item x="32"/>
        <item x="23"/>
        <item x="16"/>
        <item x="8"/>
        <item x="25"/>
        <item x="3"/>
        <item x="34"/>
        <item x="35"/>
        <item x="28"/>
        <item x="17"/>
        <item x="4"/>
        <item x="5"/>
        <item x="11"/>
        <item x="21"/>
        <item x="18"/>
        <item x="47"/>
        <item x="48"/>
        <item x="19"/>
        <item x="49"/>
        <item x="37"/>
        <item x="24"/>
        <item x="50"/>
        <item x="51"/>
        <item x="29"/>
        <item x="52"/>
        <item x="9"/>
        <item t="default"/>
      </items>
    </pivotField>
    <pivotField compact="0" showAll="0">
      <items count="76">
        <item x="39"/>
        <item x="11"/>
        <item x="15"/>
        <item x="30"/>
        <item x="38"/>
        <item x="55"/>
        <item x="40"/>
        <item x="54"/>
        <item x="24"/>
        <item x="49"/>
        <item x="42"/>
        <item x="53"/>
        <item x="50"/>
        <item x="21"/>
        <item x="46"/>
        <item x="22"/>
        <item x="25"/>
        <item x="12"/>
        <item x="57"/>
        <item x="72"/>
        <item x="58"/>
        <item x="56"/>
        <item x="67"/>
        <item x="31"/>
        <item x="19"/>
        <item x="1"/>
        <item x="17"/>
        <item x="65"/>
        <item x="3"/>
        <item x="41"/>
        <item x="37"/>
        <item x="59"/>
        <item x="35"/>
        <item x="71"/>
        <item x="70"/>
        <item x="44"/>
        <item x="45"/>
        <item x="66"/>
        <item x="68"/>
        <item x="6"/>
        <item x="7"/>
        <item x="36"/>
        <item x="73"/>
        <item x="26"/>
        <item x="27"/>
        <item x="62"/>
        <item x="60"/>
        <item x="13"/>
        <item x="5"/>
        <item x="47"/>
        <item x="9"/>
        <item x="34"/>
        <item x="69"/>
        <item x="61"/>
        <item x="43"/>
        <item x="16"/>
        <item x="0"/>
        <item x="20"/>
        <item x="4"/>
        <item x="23"/>
        <item x="29"/>
        <item x="32"/>
        <item x="33"/>
        <item x="8"/>
        <item x="74"/>
        <item x="28"/>
        <item x="64"/>
        <item x="63"/>
        <item x="18"/>
        <item x="10"/>
        <item x="48"/>
        <item x="2"/>
        <item x="51"/>
        <item x="52"/>
        <item x="14"/>
        <item t="default"/>
      </items>
    </pivotField>
    <pivotField compact="0" showAll="0">
      <items count="16">
        <item x="1"/>
        <item x="5"/>
        <item x="12"/>
        <item x="0"/>
        <item x="6"/>
        <item x="9"/>
        <item x="3"/>
        <item x="13"/>
        <item x="10"/>
        <item x="4"/>
        <item x="2"/>
        <item x="7"/>
        <item x="8"/>
        <item x="11"/>
        <item x="14"/>
        <item t="default"/>
      </items>
    </pivotField>
    <pivotField axis="axisRow" compact="0" showAll="0">
      <items count="11">
        <item x="0"/>
        <item x="6"/>
        <item x="1"/>
        <item x="3"/>
        <item x="2"/>
        <item x="7"/>
        <item x="8"/>
        <item x="4"/>
        <item x="5"/>
        <item m="1" x="9"/>
        <item t="default"/>
      </items>
    </pivotField>
    <pivotField compact="0" showAll="0">
      <items count="6">
        <item x="2"/>
        <item x="0"/>
        <item x="1"/>
        <item x="3"/>
        <item x="4"/>
        <item t="default"/>
      </items>
    </pivotField>
    <pivotField compact="0" showAll="0">
      <items count="27">
        <item x="1"/>
        <item x="22"/>
        <item x="6"/>
        <item x="24"/>
        <item x="4"/>
        <item x="5"/>
        <item x="16"/>
        <item x="23"/>
        <item x="11"/>
        <item x="3"/>
        <item x="0"/>
        <item x="15"/>
        <item x="9"/>
        <item x="10"/>
        <item x="25"/>
        <item x="2"/>
        <item x="7"/>
        <item x="8"/>
        <item x="12"/>
        <item x="13"/>
        <item x="14"/>
        <item x="17"/>
        <item x="18"/>
        <item x="19"/>
        <item x="20"/>
        <item x="21"/>
        <item t="default"/>
      </items>
    </pivotField>
    <pivotField compact="0" showAll="0">
      <items count="19">
        <item x="2"/>
        <item x="0"/>
        <item x="4"/>
        <item x="5"/>
        <item x="7"/>
        <item x="8"/>
        <item x="9"/>
        <item x="15"/>
        <item x="10"/>
        <item x="11"/>
        <item x="12"/>
        <item x="14"/>
        <item x="17"/>
        <item x="16"/>
        <item x="1"/>
        <item x="3"/>
        <item x="6"/>
        <item x="13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34">
        <item x="3"/>
        <item x="1"/>
        <item x="13"/>
        <item x="8"/>
        <item x="28"/>
        <item x="12"/>
        <item x="11"/>
        <item x="27"/>
        <item x="7"/>
        <item x="29"/>
        <item x="32"/>
        <item x="23"/>
        <item x="24"/>
        <item x="0"/>
        <item x="10"/>
        <item x="25"/>
        <item x="17"/>
        <item x="15"/>
        <item x="19"/>
        <item x="5"/>
        <item x="6"/>
        <item x="9"/>
        <item x="14"/>
        <item x="16"/>
        <item x="20"/>
        <item x="21"/>
        <item x="22"/>
        <item x="26"/>
        <item x="31"/>
        <item x="30"/>
        <item x="2"/>
        <item x="4"/>
        <item x="18"/>
        <item t="default"/>
      </items>
    </pivotField>
    <pivotField compact="0" showAll="0">
      <items count="2">
        <item x="0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计数项:本月发放数量" fld="8" subtotal="count" baseField="0" baseItem="0"/>
  </dataFields>
  <formats count="2">
    <format dxfId="15">
      <pivotArea dataOnly="0" labelOnly="1" grandCol="1" fieldPosition="0"/>
    </format>
    <format dxfId="1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7"/>
  <sheetViews>
    <sheetView workbookViewId="0">
      <pane ySplit="1" topLeftCell="A2" activePane="bottomLeft" state="frozen"/>
      <selection/>
      <selection pane="bottomLeft" activeCell="C21" sqref="C21"/>
    </sheetView>
  </sheetViews>
  <sheetFormatPr defaultColWidth="9" defaultRowHeight="20" customHeight="1"/>
  <cols>
    <col min="1" max="1" width="18.25" style="41" customWidth="1"/>
    <col min="2" max="2" width="22.625" style="42" customWidth="1"/>
    <col min="3" max="3" width="29.6666666666667" style="42" customWidth="1"/>
    <col min="4" max="4" width="22.625" style="42" customWidth="1"/>
    <col min="5" max="5" width="6.10833333333333" style="43" customWidth="1"/>
    <col min="6" max="6" width="11.8916666666667" style="43" customWidth="1"/>
    <col min="7" max="7" width="7.44166666666667" style="43" customWidth="1"/>
    <col min="8" max="8" width="9" style="43"/>
    <col min="9" max="10" width="9.66666666666667" style="43" customWidth="1"/>
    <col min="11" max="16384" width="9" style="43"/>
  </cols>
  <sheetData>
    <row r="1" customHeight="1" spans="1:10">
      <c r="A1" s="44" t="s">
        <v>0</v>
      </c>
      <c r="B1" s="45" t="s">
        <v>1</v>
      </c>
      <c r="C1" s="45" t="s">
        <v>2</v>
      </c>
      <c r="D1" s="45" t="s">
        <v>1</v>
      </c>
      <c r="E1" s="45" t="s">
        <v>3</v>
      </c>
      <c r="F1" s="45" t="s">
        <v>4</v>
      </c>
      <c r="G1" s="45" t="s">
        <v>5</v>
      </c>
      <c r="I1" s="43" t="s">
        <v>6</v>
      </c>
      <c r="J1" s="43" t="s">
        <v>7</v>
      </c>
    </row>
    <row r="2" customHeight="1" spans="1:10">
      <c r="A2" s="41" t="s">
        <v>8</v>
      </c>
      <c r="B2" s="23" t="s">
        <v>9</v>
      </c>
      <c r="C2" s="23" t="s">
        <v>10</v>
      </c>
      <c r="D2" s="23" t="s">
        <v>9</v>
      </c>
      <c r="E2" s="23" t="s">
        <v>11</v>
      </c>
      <c r="F2" s="23" t="s">
        <v>12</v>
      </c>
      <c r="G2" s="23" t="s">
        <v>13</v>
      </c>
      <c r="I2" s="43" t="s">
        <v>14</v>
      </c>
      <c r="J2" s="43" t="s">
        <v>15</v>
      </c>
    </row>
    <row r="3" customHeight="1" spans="1:10">
      <c r="A3" s="41" t="s">
        <v>16</v>
      </c>
      <c r="B3" s="23" t="s">
        <v>9</v>
      </c>
      <c r="C3" s="23" t="s">
        <v>17</v>
      </c>
      <c r="D3" s="23" t="s">
        <v>9</v>
      </c>
      <c r="E3" s="23" t="s">
        <v>11</v>
      </c>
      <c r="F3" s="23" t="s">
        <v>12</v>
      </c>
      <c r="G3" s="23" t="s">
        <v>13</v>
      </c>
      <c r="I3" s="43" t="s">
        <v>18</v>
      </c>
      <c r="J3" s="43" t="s">
        <v>19</v>
      </c>
    </row>
    <row r="4" customHeight="1" spans="1:10">
      <c r="B4" s="23" t="s">
        <v>20</v>
      </c>
      <c r="C4" s="23" t="s">
        <v>21</v>
      </c>
      <c r="D4" s="23" t="s">
        <v>20</v>
      </c>
      <c r="E4" s="23" t="s">
        <v>22</v>
      </c>
      <c r="F4" s="23" t="s">
        <v>12</v>
      </c>
      <c r="G4" s="23" t="s">
        <v>13</v>
      </c>
      <c r="I4" s="43" t="s">
        <v>23</v>
      </c>
      <c r="J4" s="43" t="s">
        <v>23</v>
      </c>
    </row>
    <row r="5" customHeight="1" spans="1:10">
      <c r="B5" s="23" t="s">
        <v>20</v>
      </c>
      <c r="C5" s="23" t="s">
        <v>24</v>
      </c>
      <c r="D5" s="23" t="s">
        <v>20</v>
      </c>
      <c r="E5" s="23" t="s">
        <v>22</v>
      </c>
      <c r="F5" s="23" t="s">
        <v>12</v>
      </c>
      <c r="G5" s="23" t="s">
        <v>13</v>
      </c>
      <c r="I5" s="43" t="s">
        <v>25</v>
      </c>
      <c r="J5" s="43" t="s">
        <v>26</v>
      </c>
    </row>
    <row r="6" customHeight="1" spans="1:10">
      <c r="B6" s="23" t="s">
        <v>27</v>
      </c>
      <c r="C6" s="23" t="s">
        <v>28</v>
      </c>
      <c r="D6" s="23" t="s">
        <v>27</v>
      </c>
      <c r="E6" s="23" t="s">
        <v>22</v>
      </c>
      <c r="F6" s="23" t="s">
        <v>12</v>
      </c>
      <c r="G6" s="23" t="s">
        <v>13</v>
      </c>
      <c r="I6" s="43" t="s">
        <v>26</v>
      </c>
    </row>
    <row r="7" customHeight="1" spans="1:10">
      <c r="B7" s="23" t="s">
        <v>29</v>
      </c>
      <c r="C7" s="23" t="s">
        <v>30</v>
      </c>
      <c r="D7" s="23" t="s">
        <v>29</v>
      </c>
      <c r="E7" s="23" t="s">
        <v>31</v>
      </c>
      <c r="F7" s="23" t="s">
        <v>12</v>
      </c>
      <c r="G7" s="23" t="s">
        <v>13</v>
      </c>
    </row>
    <row r="8" customHeight="1" spans="1:10">
      <c r="B8" s="23" t="s">
        <v>29</v>
      </c>
      <c r="C8" s="23" t="s">
        <v>32</v>
      </c>
      <c r="D8" s="23" t="s">
        <v>29</v>
      </c>
      <c r="E8" s="23" t="s">
        <v>31</v>
      </c>
      <c r="F8" s="23" t="s">
        <v>12</v>
      </c>
      <c r="G8" s="23" t="s">
        <v>13</v>
      </c>
    </row>
    <row r="9" customHeight="1" spans="1:10">
      <c r="B9" s="23" t="s">
        <v>33</v>
      </c>
      <c r="C9" s="23" t="s">
        <v>34</v>
      </c>
      <c r="D9" s="23" t="s">
        <v>33</v>
      </c>
      <c r="E9" s="23" t="s">
        <v>22</v>
      </c>
      <c r="F9" s="23" t="s">
        <v>12</v>
      </c>
      <c r="G9" s="23" t="s">
        <v>13</v>
      </c>
    </row>
    <row r="10" customHeight="1" spans="1:10">
      <c r="B10" s="23" t="s">
        <v>33</v>
      </c>
      <c r="C10" s="23" t="s">
        <v>35</v>
      </c>
      <c r="D10" s="23" t="s">
        <v>33</v>
      </c>
      <c r="E10" s="23" t="s">
        <v>22</v>
      </c>
      <c r="F10" s="23" t="s">
        <v>12</v>
      </c>
      <c r="G10" s="23" t="s">
        <v>13</v>
      </c>
    </row>
    <row r="11" customHeight="1" spans="1:10">
      <c r="B11" s="23" t="s">
        <v>36</v>
      </c>
      <c r="C11" s="23" t="s">
        <v>37</v>
      </c>
      <c r="D11" s="23" t="s">
        <v>36</v>
      </c>
      <c r="E11" s="23" t="s">
        <v>22</v>
      </c>
      <c r="F11" s="23" t="s">
        <v>12</v>
      </c>
      <c r="G11" s="23" t="s">
        <v>13</v>
      </c>
    </row>
    <row r="12" customHeight="1" spans="1:10">
      <c r="B12" s="23" t="s">
        <v>36</v>
      </c>
      <c r="C12" s="23" t="s">
        <v>38</v>
      </c>
      <c r="D12" s="23" t="s">
        <v>36</v>
      </c>
      <c r="E12" s="23" t="s">
        <v>22</v>
      </c>
      <c r="F12" s="23" t="s">
        <v>12</v>
      </c>
      <c r="G12" s="23" t="s">
        <v>13</v>
      </c>
    </row>
    <row r="13" customHeight="1" spans="1:10">
      <c r="B13" s="23" t="s">
        <v>39</v>
      </c>
      <c r="C13" s="23" t="s">
        <v>40</v>
      </c>
      <c r="D13" s="23" t="s">
        <v>39</v>
      </c>
      <c r="E13" s="23" t="s">
        <v>11</v>
      </c>
      <c r="F13" s="23" t="s">
        <v>12</v>
      </c>
      <c r="G13" s="23" t="s">
        <v>41</v>
      </c>
    </row>
    <row r="14" customHeight="1" spans="1:10">
      <c r="B14" s="23" t="s">
        <v>39</v>
      </c>
      <c r="C14" s="23" t="s">
        <v>42</v>
      </c>
      <c r="D14" s="23" t="s">
        <v>39</v>
      </c>
      <c r="E14" s="23" t="s">
        <v>43</v>
      </c>
      <c r="F14" s="23" t="s">
        <v>12</v>
      </c>
      <c r="G14" s="23" t="s">
        <v>41</v>
      </c>
    </row>
    <row r="15" customHeight="1" spans="1:10">
      <c r="B15" s="23" t="s">
        <v>44</v>
      </c>
      <c r="C15" s="23" t="s">
        <v>45</v>
      </c>
      <c r="D15" s="23" t="s">
        <v>44</v>
      </c>
      <c r="E15" s="23" t="s">
        <v>11</v>
      </c>
      <c r="F15" s="23" t="s">
        <v>12</v>
      </c>
      <c r="G15" s="23" t="s">
        <v>41</v>
      </c>
    </row>
    <row r="16" customHeight="1" spans="1:10">
      <c r="B16" s="23" t="s">
        <v>46</v>
      </c>
      <c r="C16" s="23" t="s">
        <v>47</v>
      </c>
      <c r="D16" s="23" t="s">
        <v>46</v>
      </c>
      <c r="E16" s="23" t="s">
        <v>11</v>
      </c>
      <c r="F16" s="23" t="s">
        <v>12</v>
      </c>
      <c r="G16" s="23" t="s">
        <v>41</v>
      </c>
    </row>
    <row r="17" customHeight="1" spans="2:7">
      <c r="B17" s="23" t="s">
        <v>46</v>
      </c>
      <c r="C17" s="23" t="s">
        <v>48</v>
      </c>
      <c r="D17" s="23" t="s">
        <v>46</v>
      </c>
      <c r="E17" s="23" t="s">
        <v>11</v>
      </c>
      <c r="F17" s="23" t="s">
        <v>12</v>
      </c>
      <c r="G17" s="23" t="s">
        <v>41</v>
      </c>
    </row>
    <row r="18" customHeight="1" spans="2:7">
      <c r="B18" s="23" t="s">
        <v>49</v>
      </c>
      <c r="C18" s="23" t="s">
        <v>50</v>
      </c>
      <c r="D18" s="23" t="s">
        <v>49</v>
      </c>
      <c r="E18" s="23" t="s">
        <v>51</v>
      </c>
      <c r="F18" s="23" t="s">
        <v>12</v>
      </c>
      <c r="G18" s="23" t="s">
        <v>41</v>
      </c>
    </row>
    <row r="19" customHeight="1" spans="2:7">
      <c r="B19" s="23" t="s">
        <v>52</v>
      </c>
      <c r="C19" s="23" t="s">
        <v>53</v>
      </c>
      <c r="D19" s="23" t="s">
        <v>52</v>
      </c>
      <c r="E19" s="23" t="s">
        <v>22</v>
      </c>
      <c r="F19" s="23" t="s">
        <v>54</v>
      </c>
      <c r="G19" s="23" t="s">
        <v>13</v>
      </c>
    </row>
    <row r="20" customHeight="1" spans="2:7">
      <c r="B20" s="23" t="s">
        <v>29</v>
      </c>
      <c r="C20" s="23" t="s">
        <v>55</v>
      </c>
      <c r="D20" s="23" t="s">
        <v>29</v>
      </c>
      <c r="E20" s="23" t="s">
        <v>31</v>
      </c>
      <c r="F20" s="23" t="s">
        <v>54</v>
      </c>
      <c r="G20" s="23" t="s">
        <v>13</v>
      </c>
    </row>
    <row r="21" customHeight="1" spans="2:7">
      <c r="B21" s="23" t="s">
        <v>56</v>
      </c>
      <c r="C21" s="23" t="s">
        <v>57</v>
      </c>
      <c r="D21" s="23" t="s">
        <v>56</v>
      </c>
      <c r="E21" s="23" t="s">
        <v>22</v>
      </c>
      <c r="F21" s="23" t="s">
        <v>54</v>
      </c>
      <c r="G21" s="23" t="s">
        <v>13</v>
      </c>
    </row>
    <row r="22" customHeight="1" spans="2:7">
      <c r="B22" s="23" t="s">
        <v>56</v>
      </c>
      <c r="C22" s="23" t="s">
        <v>58</v>
      </c>
      <c r="D22" s="23" t="s">
        <v>56</v>
      </c>
      <c r="E22" s="23" t="s">
        <v>22</v>
      </c>
      <c r="F22" s="23" t="s">
        <v>54</v>
      </c>
      <c r="G22" s="23" t="s">
        <v>13</v>
      </c>
    </row>
    <row r="23" customHeight="1" spans="2:7">
      <c r="B23" s="23" t="s">
        <v>59</v>
      </c>
      <c r="C23" s="23" t="s">
        <v>60</v>
      </c>
      <c r="D23" s="23" t="s">
        <v>59</v>
      </c>
      <c r="E23" s="23" t="s">
        <v>22</v>
      </c>
      <c r="F23" s="23" t="s">
        <v>54</v>
      </c>
      <c r="G23" s="23" t="s">
        <v>13</v>
      </c>
    </row>
    <row r="24" customHeight="1" spans="2:7">
      <c r="B24" s="23" t="s">
        <v>61</v>
      </c>
      <c r="C24" s="23" t="s">
        <v>62</v>
      </c>
      <c r="D24" s="23" t="s">
        <v>61</v>
      </c>
      <c r="E24" s="23" t="s">
        <v>51</v>
      </c>
      <c r="F24" s="23" t="s">
        <v>54</v>
      </c>
      <c r="G24" s="23" t="s">
        <v>41</v>
      </c>
    </row>
    <row r="25" customHeight="1" spans="2:7">
      <c r="B25" s="23" t="s">
        <v>63</v>
      </c>
      <c r="C25" s="23" t="s">
        <v>64</v>
      </c>
      <c r="D25" s="23" t="s">
        <v>63</v>
      </c>
      <c r="E25" s="23" t="s">
        <v>65</v>
      </c>
      <c r="F25" s="23" t="s">
        <v>54</v>
      </c>
      <c r="G25" s="23" t="s">
        <v>41</v>
      </c>
    </row>
    <row r="26" customHeight="1" spans="2:7">
      <c r="B26" s="23" t="s">
        <v>66</v>
      </c>
      <c r="C26" s="23" t="s">
        <v>67</v>
      </c>
      <c r="D26" s="23" t="s">
        <v>66</v>
      </c>
      <c r="E26" s="23" t="s">
        <v>51</v>
      </c>
      <c r="F26" s="23" t="s">
        <v>54</v>
      </c>
      <c r="G26" s="23" t="s">
        <v>41</v>
      </c>
    </row>
    <row r="27" customHeight="1" spans="2:7">
      <c r="B27" s="23" t="s">
        <v>39</v>
      </c>
      <c r="C27" s="23" t="s">
        <v>68</v>
      </c>
      <c r="D27" s="23" t="s">
        <v>39</v>
      </c>
      <c r="E27" s="23" t="s">
        <v>43</v>
      </c>
      <c r="F27" s="23" t="s">
        <v>54</v>
      </c>
      <c r="G27" s="23" t="s">
        <v>41</v>
      </c>
    </row>
    <row r="28" customHeight="1" spans="2:7">
      <c r="B28" s="23" t="s">
        <v>39</v>
      </c>
      <c r="C28" s="23" t="s">
        <v>69</v>
      </c>
      <c r="D28" s="23" t="s">
        <v>39</v>
      </c>
      <c r="E28" s="23" t="s">
        <v>11</v>
      </c>
      <c r="F28" s="23" t="s">
        <v>54</v>
      </c>
      <c r="G28" s="23" t="s">
        <v>41</v>
      </c>
    </row>
    <row r="29" customHeight="1" spans="2:7">
      <c r="B29" s="23" t="s">
        <v>70</v>
      </c>
      <c r="C29" s="23" t="s">
        <v>71</v>
      </c>
      <c r="D29" s="23" t="s">
        <v>70</v>
      </c>
      <c r="E29" s="23" t="s">
        <v>51</v>
      </c>
      <c r="F29" s="23" t="s">
        <v>54</v>
      </c>
      <c r="G29" s="23" t="s">
        <v>41</v>
      </c>
    </row>
    <row r="30" customHeight="1" spans="2:7">
      <c r="B30" s="23" t="s">
        <v>72</v>
      </c>
      <c r="C30" s="23" t="s">
        <v>73</v>
      </c>
      <c r="D30" s="23" t="s">
        <v>72</v>
      </c>
      <c r="E30" s="23" t="s">
        <v>74</v>
      </c>
      <c r="F30" s="23" t="s">
        <v>54</v>
      </c>
      <c r="G30" s="23" t="s">
        <v>41</v>
      </c>
    </row>
    <row r="31" customHeight="1" spans="2:7">
      <c r="B31" s="23" t="s">
        <v>75</v>
      </c>
      <c r="C31" s="23" t="s">
        <v>76</v>
      </c>
      <c r="D31" s="23" t="s">
        <v>75</v>
      </c>
      <c r="E31" s="23" t="s">
        <v>51</v>
      </c>
      <c r="F31" s="23" t="s">
        <v>54</v>
      </c>
      <c r="G31" s="23" t="s">
        <v>41</v>
      </c>
    </row>
    <row r="32" customHeight="1" spans="2:7">
      <c r="B32" s="23" t="s">
        <v>77</v>
      </c>
      <c r="C32" s="23" t="s">
        <v>78</v>
      </c>
      <c r="D32" s="23" t="s">
        <v>77</v>
      </c>
      <c r="E32" s="23" t="s">
        <v>51</v>
      </c>
      <c r="F32" s="23" t="s">
        <v>54</v>
      </c>
      <c r="G32" s="23" t="s">
        <v>41</v>
      </c>
    </row>
    <row r="33" customHeight="1" spans="2:7">
      <c r="B33" s="23" t="s">
        <v>79</v>
      </c>
      <c r="C33" s="23" t="s">
        <v>80</v>
      </c>
      <c r="D33" s="23" t="s">
        <v>79</v>
      </c>
      <c r="E33" s="23" t="s">
        <v>43</v>
      </c>
      <c r="F33" s="23" t="s">
        <v>54</v>
      </c>
      <c r="G33" s="23" t="s">
        <v>41</v>
      </c>
    </row>
    <row r="34" customHeight="1" spans="2:7">
      <c r="B34" s="23" t="s">
        <v>81</v>
      </c>
      <c r="C34" s="23" t="s">
        <v>82</v>
      </c>
      <c r="D34" s="23" t="s">
        <v>81</v>
      </c>
      <c r="E34" s="23" t="s">
        <v>51</v>
      </c>
      <c r="F34" s="23" t="s">
        <v>54</v>
      </c>
      <c r="G34" s="23" t="s">
        <v>41</v>
      </c>
    </row>
    <row r="35" customHeight="1" spans="2:7">
      <c r="B35" s="23" t="s">
        <v>83</v>
      </c>
      <c r="C35" s="23" t="s">
        <v>84</v>
      </c>
      <c r="D35" s="23" t="s">
        <v>83</v>
      </c>
      <c r="E35" s="23" t="s">
        <v>22</v>
      </c>
      <c r="F35" s="23" t="s">
        <v>85</v>
      </c>
      <c r="G35" s="23" t="s">
        <v>41</v>
      </c>
    </row>
    <row r="36" customHeight="1" spans="2:7">
      <c r="B36" s="23" t="s">
        <v>83</v>
      </c>
      <c r="C36" s="23" t="s">
        <v>86</v>
      </c>
      <c r="D36" s="23" t="s">
        <v>83</v>
      </c>
      <c r="E36" s="23" t="s">
        <v>22</v>
      </c>
      <c r="F36" s="23" t="s">
        <v>85</v>
      </c>
      <c r="G36" s="23" t="s">
        <v>41</v>
      </c>
    </row>
    <row r="37" customHeight="1" spans="2:7">
      <c r="B37" s="23" t="s">
        <v>87</v>
      </c>
      <c r="C37" s="23" t="s">
        <v>88</v>
      </c>
      <c r="D37" s="23" t="s">
        <v>87</v>
      </c>
      <c r="E37" s="23" t="s">
        <v>22</v>
      </c>
      <c r="F37" s="23" t="s">
        <v>85</v>
      </c>
      <c r="G37" s="23" t="s">
        <v>41</v>
      </c>
    </row>
    <row r="38" customHeight="1" spans="2:7">
      <c r="B38" s="23" t="s">
        <v>87</v>
      </c>
      <c r="C38" s="23" t="s">
        <v>89</v>
      </c>
      <c r="D38" s="23" t="s">
        <v>87</v>
      </c>
      <c r="E38" s="23" t="s">
        <v>22</v>
      </c>
      <c r="F38" s="23" t="s">
        <v>85</v>
      </c>
      <c r="G38" s="23" t="s">
        <v>41</v>
      </c>
    </row>
    <row r="39" customHeight="1" spans="2:7">
      <c r="B39" s="23" t="s">
        <v>90</v>
      </c>
      <c r="C39" s="23" t="s">
        <v>91</v>
      </c>
      <c r="D39" s="23" t="s">
        <v>90</v>
      </c>
      <c r="E39" s="23" t="s">
        <v>22</v>
      </c>
      <c r="F39" s="23" t="s">
        <v>85</v>
      </c>
      <c r="G39" s="23" t="s">
        <v>41</v>
      </c>
    </row>
    <row r="40" customHeight="1" spans="2:7">
      <c r="B40" s="23" t="s">
        <v>92</v>
      </c>
      <c r="C40" s="23" t="s">
        <v>93</v>
      </c>
      <c r="D40" s="23" t="s">
        <v>92</v>
      </c>
      <c r="E40" s="23" t="s">
        <v>94</v>
      </c>
      <c r="F40" s="23" t="s">
        <v>95</v>
      </c>
      <c r="G40" s="23" t="s">
        <v>96</v>
      </c>
    </row>
    <row r="41" customHeight="1" spans="2:7">
      <c r="B41" s="23" t="s">
        <v>97</v>
      </c>
      <c r="C41" s="23" t="s">
        <v>98</v>
      </c>
      <c r="D41" s="23" t="s">
        <v>97</v>
      </c>
      <c r="E41" s="23" t="s">
        <v>11</v>
      </c>
      <c r="F41" s="23" t="s">
        <v>99</v>
      </c>
      <c r="G41" s="23" t="s">
        <v>13</v>
      </c>
    </row>
    <row r="42" customHeight="1" spans="2:7">
      <c r="B42" s="23" t="s">
        <v>100</v>
      </c>
      <c r="C42" s="23" t="s">
        <v>101</v>
      </c>
      <c r="D42" s="23" t="s">
        <v>100</v>
      </c>
      <c r="E42" s="23" t="s">
        <v>102</v>
      </c>
      <c r="F42" s="23" t="s">
        <v>99</v>
      </c>
      <c r="G42" s="23" t="s">
        <v>13</v>
      </c>
    </row>
    <row r="43" customHeight="1" spans="2:7">
      <c r="B43" s="23" t="s">
        <v>100</v>
      </c>
      <c r="C43" s="23" t="s">
        <v>103</v>
      </c>
      <c r="D43" s="23" t="s">
        <v>100</v>
      </c>
      <c r="E43" s="23" t="s">
        <v>102</v>
      </c>
      <c r="F43" s="23" t="s">
        <v>99</v>
      </c>
      <c r="G43" s="23" t="s">
        <v>13</v>
      </c>
    </row>
    <row r="44" customHeight="1" spans="2:7">
      <c r="B44" s="23" t="s">
        <v>100</v>
      </c>
      <c r="C44" s="23" t="s">
        <v>69</v>
      </c>
      <c r="D44" s="23" t="s">
        <v>100</v>
      </c>
      <c r="E44" s="23" t="s">
        <v>102</v>
      </c>
      <c r="F44" s="23" t="s">
        <v>99</v>
      </c>
      <c r="G44" s="23" t="s">
        <v>13</v>
      </c>
    </row>
    <row r="45" customHeight="1" spans="2:7">
      <c r="B45" s="23" t="s">
        <v>29</v>
      </c>
      <c r="C45" s="23" t="s">
        <v>104</v>
      </c>
      <c r="D45" s="23" t="s">
        <v>29</v>
      </c>
      <c r="E45" s="23" t="s">
        <v>31</v>
      </c>
      <c r="F45" s="23" t="s">
        <v>99</v>
      </c>
      <c r="G45" s="23" t="s">
        <v>13</v>
      </c>
    </row>
    <row r="46" customHeight="1" spans="2:7">
      <c r="B46" s="23" t="s">
        <v>105</v>
      </c>
      <c r="C46" s="23" t="s">
        <v>106</v>
      </c>
      <c r="D46" s="23" t="s">
        <v>105</v>
      </c>
      <c r="E46" s="23" t="s">
        <v>11</v>
      </c>
      <c r="F46" s="23" t="s">
        <v>99</v>
      </c>
      <c r="G46" s="23" t="s">
        <v>13</v>
      </c>
    </row>
    <row r="47" customHeight="1" spans="2:7">
      <c r="B47" s="23" t="s">
        <v>107</v>
      </c>
      <c r="C47" s="23" t="s">
        <v>108</v>
      </c>
      <c r="D47" s="23" t="s">
        <v>107</v>
      </c>
      <c r="E47" s="23" t="s">
        <v>11</v>
      </c>
      <c r="F47" s="23" t="s">
        <v>99</v>
      </c>
      <c r="G47" s="23" t="s">
        <v>13</v>
      </c>
    </row>
    <row r="48" customHeight="1" spans="2:7">
      <c r="B48" s="23" t="s">
        <v>109</v>
      </c>
      <c r="C48" s="23" t="s">
        <v>110</v>
      </c>
      <c r="D48" s="23" t="s">
        <v>109</v>
      </c>
      <c r="E48" s="23" t="s">
        <v>11</v>
      </c>
      <c r="F48" s="23" t="s">
        <v>99</v>
      </c>
      <c r="G48" s="23" t="s">
        <v>41</v>
      </c>
    </row>
    <row r="49" customHeight="1" spans="2:7">
      <c r="B49" s="23" t="s">
        <v>111</v>
      </c>
      <c r="C49" s="23" t="s">
        <v>112</v>
      </c>
      <c r="D49" s="23" t="s">
        <v>111</v>
      </c>
      <c r="E49" s="23" t="s">
        <v>11</v>
      </c>
      <c r="F49" s="23" t="s">
        <v>99</v>
      </c>
      <c r="G49" s="23" t="s">
        <v>41</v>
      </c>
    </row>
    <row r="50" customHeight="1" spans="2:7">
      <c r="B50" s="23" t="s">
        <v>113</v>
      </c>
      <c r="C50" s="23" t="s">
        <v>114</v>
      </c>
      <c r="D50" s="23" t="s">
        <v>113</v>
      </c>
      <c r="E50" s="23" t="s">
        <v>51</v>
      </c>
      <c r="F50" s="23" t="s">
        <v>99</v>
      </c>
      <c r="G50" s="23" t="s">
        <v>41</v>
      </c>
    </row>
    <row r="51" customHeight="1" spans="2:7">
      <c r="B51" s="25" t="s">
        <v>115</v>
      </c>
      <c r="C51" s="25" t="s">
        <v>116</v>
      </c>
      <c r="D51" s="25" t="s">
        <v>115</v>
      </c>
      <c r="E51" s="25" t="s">
        <v>117</v>
      </c>
      <c r="F51" s="25" t="s">
        <v>118</v>
      </c>
      <c r="G51" s="25" t="s">
        <v>13</v>
      </c>
    </row>
    <row r="52" customHeight="1" spans="2:7">
      <c r="B52" s="25" t="s">
        <v>119</v>
      </c>
      <c r="C52" s="25" t="s">
        <v>120</v>
      </c>
      <c r="D52" s="25" t="s">
        <v>119</v>
      </c>
      <c r="E52" s="25" t="s">
        <v>121</v>
      </c>
      <c r="F52" s="25" t="s">
        <v>118</v>
      </c>
      <c r="G52" s="25" t="s">
        <v>13</v>
      </c>
    </row>
    <row r="53" customHeight="1" spans="2:7">
      <c r="B53" s="25" t="s">
        <v>122</v>
      </c>
      <c r="C53" s="25" t="s">
        <v>123</v>
      </c>
      <c r="D53" s="25" t="s">
        <v>122</v>
      </c>
      <c r="E53" s="25" t="s">
        <v>11</v>
      </c>
      <c r="F53" s="25" t="s">
        <v>118</v>
      </c>
      <c r="G53" s="25" t="s">
        <v>13</v>
      </c>
    </row>
    <row r="54" customHeight="1" spans="2:7">
      <c r="B54" s="25" t="s">
        <v>124</v>
      </c>
      <c r="C54" s="25" t="s">
        <v>125</v>
      </c>
      <c r="D54" s="25" t="s">
        <v>124</v>
      </c>
      <c r="E54" s="25" t="s">
        <v>65</v>
      </c>
      <c r="F54" s="25" t="s">
        <v>118</v>
      </c>
      <c r="G54" s="25" t="s">
        <v>41</v>
      </c>
    </row>
    <row r="55" customHeight="1" spans="2:7">
      <c r="B55" s="46" t="s">
        <v>126</v>
      </c>
      <c r="C55" s="46" t="s">
        <v>127</v>
      </c>
      <c r="D55" s="46" t="s">
        <v>126</v>
      </c>
      <c r="E55" s="46" t="s">
        <v>11</v>
      </c>
      <c r="F55" s="46" t="s">
        <v>99</v>
      </c>
      <c r="G55" s="46" t="s">
        <v>13</v>
      </c>
    </row>
    <row r="56" customHeight="1" spans="2:7">
      <c r="B56" s="46" t="s">
        <v>126</v>
      </c>
      <c r="C56" s="46" t="s">
        <v>128</v>
      </c>
      <c r="D56" s="46" t="s">
        <v>126</v>
      </c>
      <c r="E56" s="46" t="s">
        <v>11</v>
      </c>
      <c r="F56" s="46" t="s">
        <v>99</v>
      </c>
      <c r="G56" s="46" t="s">
        <v>41</v>
      </c>
    </row>
    <row r="57" customHeight="1" spans="2:7">
      <c r="B57" s="23" t="s">
        <v>129</v>
      </c>
      <c r="C57" s="23" t="s">
        <v>130</v>
      </c>
      <c r="D57" s="23" t="s">
        <v>129</v>
      </c>
      <c r="E57" s="23" t="s">
        <v>94</v>
      </c>
      <c r="F57" s="23" t="s">
        <v>131</v>
      </c>
      <c r="G57" s="23" t="s">
        <v>96</v>
      </c>
    </row>
    <row r="58" customHeight="1" spans="2:7">
      <c r="B58" s="23" t="s">
        <v>129</v>
      </c>
      <c r="C58" s="23" t="s">
        <v>132</v>
      </c>
      <c r="D58" s="23" t="s">
        <v>129</v>
      </c>
      <c r="E58" s="23" t="s">
        <v>94</v>
      </c>
      <c r="F58" s="23" t="s">
        <v>131</v>
      </c>
      <c r="G58" s="23" t="s">
        <v>96</v>
      </c>
    </row>
    <row r="59" customHeight="1" spans="2:7">
      <c r="B59" s="23" t="s">
        <v>129</v>
      </c>
      <c r="C59" s="23" t="s">
        <v>133</v>
      </c>
      <c r="D59" s="23" t="s">
        <v>129</v>
      </c>
      <c r="E59" s="23" t="s">
        <v>94</v>
      </c>
      <c r="F59" s="23" t="s">
        <v>131</v>
      </c>
      <c r="G59" s="23" t="s">
        <v>96</v>
      </c>
    </row>
    <row r="60" customHeight="1" spans="2:7">
      <c r="B60" s="23" t="s">
        <v>129</v>
      </c>
      <c r="C60" s="23" t="s">
        <v>134</v>
      </c>
      <c r="D60" s="23" t="s">
        <v>129</v>
      </c>
      <c r="E60" s="23" t="s">
        <v>94</v>
      </c>
      <c r="F60" s="23" t="s">
        <v>131</v>
      </c>
      <c r="G60" s="23" t="s">
        <v>96</v>
      </c>
    </row>
    <row r="61" customHeight="1" spans="2:7">
      <c r="B61" s="23" t="s">
        <v>129</v>
      </c>
      <c r="C61" s="23" t="s">
        <v>135</v>
      </c>
      <c r="D61" s="23" t="s">
        <v>129</v>
      </c>
      <c r="E61" s="23" t="s">
        <v>94</v>
      </c>
      <c r="F61" s="23" t="s">
        <v>131</v>
      </c>
      <c r="G61" s="23" t="s">
        <v>96</v>
      </c>
    </row>
    <row r="62" customHeight="1" spans="2:7">
      <c r="B62" s="23" t="s">
        <v>129</v>
      </c>
      <c r="C62" s="23" t="s">
        <v>136</v>
      </c>
      <c r="D62" s="23" t="s">
        <v>129</v>
      </c>
      <c r="E62" s="23" t="s">
        <v>94</v>
      </c>
      <c r="F62" s="23" t="s">
        <v>131</v>
      </c>
      <c r="G62" s="23" t="s">
        <v>96</v>
      </c>
    </row>
    <row r="63" customHeight="1" spans="2:7">
      <c r="B63" s="23" t="s">
        <v>137</v>
      </c>
      <c r="C63" s="23" t="s">
        <v>138</v>
      </c>
      <c r="D63" s="23" t="s">
        <v>137</v>
      </c>
      <c r="E63" s="23" t="s">
        <v>11</v>
      </c>
      <c r="F63" s="23" t="s">
        <v>131</v>
      </c>
      <c r="G63" s="23" t="s">
        <v>96</v>
      </c>
    </row>
    <row r="64" customHeight="1" spans="2:7">
      <c r="B64" s="23" t="s">
        <v>139</v>
      </c>
      <c r="C64" s="23" t="s">
        <v>136</v>
      </c>
      <c r="D64" s="23" t="s">
        <v>139</v>
      </c>
      <c r="E64" s="23" t="s">
        <v>94</v>
      </c>
      <c r="F64" s="23" t="s">
        <v>131</v>
      </c>
      <c r="G64" s="23" t="s">
        <v>96</v>
      </c>
    </row>
    <row r="65" customHeight="1" spans="2:8">
      <c r="B65" s="23" t="s">
        <v>139</v>
      </c>
      <c r="C65" s="23" t="s">
        <v>135</v>
      </c>
      <c r="D65" s="23" t="s">
        <v>139</v>
      </c>
      <c r="E65" s="23" t="s">
        <v>94</v>
      </c>
      <c r="F65" s="23" t="s">
        <v>131</v>
      </c>
      <c r="G65" s="23" t="s">
        <v>96</v>
      </c>
    </row>
    <row r="66" customHeight="1" spans="2:8">
      <c r="B66" s="23" t="s">
        <v>139</v>
      </c>
      <c r="C66" s="23" t="s">
        <v>134</v>
      </c>
      <c r="D66" s="23" t="s">
        <v>139</v>
      </c>
      <c r="E66" s="23" t="s">
        <v>94</v>
      </c>
      <c r="F66" s="23" t="s">
        <v>131</v>
      </c>
      <c r="G66" s="23" t="s">
        <v>96</v>
      </c>
    </row>
    <row r="67" customHeight="1" spans="2:8">
      <c r="B67" s="23" t="s">
        <v>139</v>
      </c>
      <c r="C67" s="23" t="s">
        <v>133</v>
      </c>
      <c r="D67" s="23" t="s">
        <v>139</v>
      </c>
      <c r="E67" s="23" t="s">
        <v>94</v>
      </c>
      <c r="F67" s="23" t="s">
        <v>131</v>
      </c>
      <c r="G67" s="23" t="s">
        <v>96</v>
      </c>
    </row>
    <row r="68" customHeight="1" spans="2:8">
      <c r="B68" s="23" t="s">
        <v>139</v>
      </c>
      <c r="C68" s="23" t="s">
        <v>132</v>
      </c>
      <c r="D68" s="23" t="s">
        <v>139</v>
      </c>
      <c r="E68" s="23" t="s">
        <v>94</v>
      </c>
      <c r="F68" s="23" t="s">
        <v>131</v>
      </c>
      <c r="G68" s="23" t="s">
        <v>96</v>
      </c>
    </row>
    <row r="69" customHeight="1" spans="2:8">
      <c r="B69" s="23" t="s">
        <v>139</v>
      </c>
      <c r="C69" s="23" t="s">
        <v>130</v>
      </c>
      <c r="D69" s="23" t="s">
        <v>139</v>
      </c>
      <c r="E69" s="23" t="s">
        <v>94</v>
      </c>
      <c r="F69" s="23" t="s">
        <v>131</v>
      </c>
      <c r="G69" s="23" t="s">
        <v>96</v>
      </c>
    </row>
    <row r="70" customHeight="1" spans="2:8">
      <c r="B70" s="23" t="s">
        <v>140</v>
      </c>
      <c r="C70" s="23" t="s">
        <v>136</v>
      </c>
      <c r="D70" s="23" t="s">
        <v>140</v>
      </c>
      <c r="E70" s="23" t="s">
        <v>94</v>
      </c>
      <c r="F70" s="23" t="s">
        <v>131</v>
      </c>
      <c r="G70" s="23" t="s">
        <v>96</v>
      </c>
    </row>
    <row r="71" customHeight="1" spans="2:8">
      <c r="B71" s="23" t="s">
        <v>140</v>
      </c>
      <c r="C71" s="23" t="s">
        <v>135</v>
      </c>
      <c r="D71" s="23" t="s">
        <v>140</v>
      </c>
      <c r="E71" s="23" t="s">
        <v>94</v>
      </c>
      <c r="F71" s="23" t="s">
        <v>131</v>
      </c>
      <c r="G71" s="23" t="s">
        <v>96</v>
      </c>
    </row>
    <row r="72" customHeight="1" spans="2:8">
      <c r="B72" s="23" t="s">
        <v>140</v>
      </c>
      <c r="C72" s="23" t="s">
        <v>134</v>
      </c>
      <c r="D72" s="23" t="s">
        <v>140</v>
      </c>
      <c r="E72" s="23" t="s">
        <v>94</v>
      </c>
      <c r="F72" s="23" t="s">
        <v>131</v>
      </c>
      <c r="G72" s="23" t="s">
        <v>96</v>
      </c>
      <c r="H72" s="43">
        <v>175</v>
      </c>
    </row>
    <row r="73" customHeight="1" spans="2:8">
      <c r="B73" s="23" t="s">
        <v>140</v>
      </c>
      <c r="C73" s="23" t="s">
        <v>133</v>
      </c>
      <c r="D73" s="23" t="s">
        <v>140</v>
      </c>
      <c r="E73" s="23" t="s">
        <v>94</v>
      </c>
      <c r="F73" s="23" t="s">
        <v>131</v>
      </c>
      <c r="G73" s="23" t="s">
        <v>96</v>
      </c>
      <c r="H73" s="43">
        <v>180</v>
      </c>
    </row>
    <row r="74" customHeight="1" spans="2:8">
      <c r="B74" s="23" t="s">
        <v>140</v>
      </c>
      <c r="C74" s="23" t="s">
        <v>132</v>
      </c>
      <c r="D74" s="23" t="s">
        <v>140</v>
      </c>
      <c r="E74" s="23" t="s">
        <v>94</v>
      </c>
      <c r="F74" s="23" t="s">
        <v>131</v>
      </c>
      <c r="G74" s="23" t="s">
        <v>96</v>
      </c>
      <c r="H74" s="43">
        <v>185</v>
      </c>
    </row>
    <row r="75" customHeight="1" spans="2:8">
      <c r="B75" s="23" t="s">
        <v>140</v>
      </c>
      <c r="C75" s="23" t="s">
        <v>130</v>
      </c>
      <c r="D75" s="23" t="s">
        <v>140</v>
      </c>
      <c r="E75" s="23" t="s">
        <v>94</v>
      </c>
      <c r="F75" s="23" t="s">
        <v>131</v>
      </c>
      <c r="G75" s="23" t="s">
        <v>96</v>
      </c>
    </row>
    <row r="76" customHeight="1" spans="2:8">
      <c r="B76" s="23" t="s">
        <v>141</v>
      </c>
      <c r="C76" s="23" t="s">
        <v>142</v>
      </c>
      <c r="D76" s="23" t="s">
        <v>141</v>
      </c>
      <c r="E76" s="23" t="s">
        <v>11</v>
      </c>
      <c r="F76" s="23" t="s">
        <v>131</v>
      </c>
      <c r="G76" s="23" t="s">
        <v>96</v>
      </c>
    </row>
    <row r="77" customHeight="1" spans="2:8">
      <c r="B77" s="23" t="s">
        <v>143</v>
      </c>
      <c r="C77" s="23" t="s">
        <v>136</v>
      </c>
      <c r="D77" s="23" t="s">
        <v>143</v>
      </c>
      <c r="E77" s="23" t="s">
        <v>94</v>
      </c>
      <c r="F77" s="23" t="s">
        <v>131</v>
      </c>
      <c r="G77" s="23" t="s">
        <v>96</v>
      </c>
    </row>
    <row r="78" customHeight="1" spans="2:8">
      <c r="B78" s="23" t="s">
        <v>143</v>
      </c>
      <c r="C78" s="23" t="s">
        <v>135</v>
      </c>
      <c r="D78" s="23" t="s">
        <v>143</v>
      </c>
      <c r="E78" s="23" t="s">
        <v>94</v>
      </c>
      <c r="F78" s="23" t="s">
        <v>131</v>
      </c>
      <c r="G78" s="23" t="s">
        <v>96</v>
      </c>
    </row>
    <row r="79" customHeight="1" spans="2:8">
      <c r="B79" s="23" t="s">
        <v>143</v>
      </c>
      <c r="C79" s="23" t="s">
        <v>134</v>
      </c>
      <c r="D79" s="23" t="s">
        <v>143</v>
      </c>
      <c r="E79" s="23" t="s">
        <v>94</v>
      </c>
      <c r="F79" s="23" t="s">
        <v>131</v>
      </c>
      <c r="G79" s="23" t="s">
        <v>96</v>
      </c>
    </row>
    <row r="80" customHeight="1" spans="2:8">
      <c r="B80" s="23" t="s">
        <v>143</v>
      </c>
      <c r="C80" s="23" t="s">
        <v>133</v>
      </c>
      <c r="D80" s="23" t="s">
        <v>143</v>
      </c>
      <c r="E80" s="23" t="s">
        <v>94</v>
      </c>
      <c r="F80" s="23" t="s">
        <v>131</v>
      </c>
      <c r="G80" s="23" t="s">
        <v>96</v>
      </c>
    </row>
    <row r="81" customHeight="1" spans="2:7">
      <c r="B81" s="23" t="s">
        <v>143</v>
      </c>
      <c r="C81" s="23" t="s">
        <v>132</v>
      </c>
      <c r="D81" s="23" t="s">
        <v>143</v>
      </c>
      <c r="E81" s="23" t="s">
        <v>94</v>
      </c>
      <c r="F81" s="23" t="s">
        <v>131</v>
      </c>
      <c r="G81" s="23" t="s">
        <v>96</v>
      </c>
    </row>
    <row r="82" customHeight="1" spans="2:7">
      <c r="B82" s="23" t="s">
        <v>143</v>
      </c>
      <c r="C82" s="23" t="s">
        <v>130</v>
      </c>
      <c r="D82" s="23" t="s">
        <v>143</v>
      </c>
      <c r="E82" s="23" t="s">
        <v>94</v>
      </c>
      <c r="F82" s="23" t="s">
        <v>131</v>
      </c>
      <c r="G82" s="23" t="s">
        <v>96</v>
      </c>
    </row>
    <row r="83" customHeight="1" spans="2:7">
      <c r="B83" s="23" t="s">
        <v>144</v>
      </c>
      <c r="C83" s="23" t="s">
        <v>145</v>
      </c>
      <c r="D83" s="23" t="s">
        <v>144</v>
      </c>
      <c r="E83" s="23" t="s">
        <v>74</v>
      </c>
      <c r="F83" s="23" t="s">
        <v>146</v>
      </c>
      <c r="G83" s="23" t="s">
        <v>146</v>
      </c>
    </row>
    <row r="84" customHeight="1" spans="2:7">
      <c r="B84" s="23" t="s">
        <v>147</v>
      </c>
      <c r="C84" s="23" t="s">
        <v>148</v>
      </c>
      <c r="D84" s="23" t="s">
        <v>147</v>
      </c>
      <c r="E84" s="23" t="s">
        <v>51</v>
      </c>
      <c r="F84" s="23" t="s">
        <v>146</v>
      </c>
      <c r="G84" s="23" t="s">
        <v>146</v>
      </c>
    </row>
    <row r="85" customHeight="1" spans="2:7">
      <c r="B85" s="23" t="s">
        <v>149</v>
      </c>
      <c r="C85" s="23" t="s">
        <v>150</v>
      </c>
      <c r="D85" s="23" t="s">
        <v>149</v>
      </c>
      <c r="E85" s="23" t="s">
        <v>51</v>
      </c>
      <c r="F85" s="23" t="s">
        <v>146</v>
      </c>
      <c r="G85" s="23" t="s">
        <v>146</v>
      </c>
    </row>
    <row r="86" customHeight="1" spans="2:7">
      <c r="B86" s="23" t="s">
        <v>149</v>
      </c>
      <c r="C86" s="23" t="s">
        <v>151</v>
      </c>
      <c r="D86" s="23" t="s">
        <v>149</v>
      </c>
      <c r="E86" s="23" t="s">
        <v>152</v>
      </c>
      <c r="F86" s="23" t="s">
        <v>146</v>
      </c>
      <c r="G86" s="23" t="s">
        <v>146</v>
      </c>
    </row>
    <row r="87" customHeight="1" spans="2:7">
      <c r="B87" s="23" t="s">
        <v>100</v>
      </c>
      <c r="C87" s="23" t="s">
        <v>153</v>
      </c>
      <c r="D87" s="23" t="s">
        <v>100</v>
      </c>
      <c r="E87" s="23" t="s">
        <v>102</v>
      </c>
      <c r="F87" s="23" t="s">
        <v>146</v>
      </c>
      <c r="G87" s="23" t="s">
        <v>146</v>
      </c>
    </row>
    <row r="88" customHeight="1" spans="2:7">
      <c r="B88" s="23" t="s">
        <v>154</v>
      </c>
      <c r="C88" s="23" t="s">
        <v>155</v>
      </c>
      <c r="D88" s="23" t="s">
        <v>154</v>
      </c>
      <c r="E88" s="23" t="s">
        <v>156</v>
      </c>
      <c r="F88" s="23" t="s">
        <v>146</v>
      </c>
      <c r="G88" s="23" t="s">
        <v>146</v>
      </c>
    </row>
    <row r="89" customHeight="1" spans="2:7">
      <c r="B89" s="23" t="s">
        <v>157</v>
      </c>
      <c r="C89" s="23" t="s">
        <v>158</v>
      </c>
      <c r="D89" s="23" t="s">
        <v>157</v>
      </c>
      <c r="E89" s="23" t="s">
        <v>51</v>
      </c>
      <c r="F89" s="23" t="s">
        <v>146</v>
      </c>
      <c r="G89" s="23" t="s">
        <v>146</v>
      </c>
    </row>
    <row r="90" customHeight="1" spans="2:7">
      <c r="B90" s="23" t="s">
        <v>157</v>
      </c>
      <c r="C90" s="23" t="s">
        <v>159</v>
      </c>
      <c r="D90" s="23" t="s">
        <v>157</v>
      </c>
      <c r="E90" s="23" t="s">
        <v>156</v>
      </c>
      <c r="F90" s="23" t="s">
        <v>146</v>
      </c>
      <c r="G90" s="23" t="s">
        <v>146</v>
      </c>
    </row>
    <row r="91" customHeight="1" spans="2:7">
      <c r="B91" s="23" t="s">
        <v>160</v>
      </c>
      <c r="C91" s="23" t="s">
        <v>161</v>
      </c>
      <c r="D91" s="23" t="s">
        <v>160</v>
      </c>
      <c r="E91" s="23" t="s">
        <v>162</v>
      </c>
      <c r="F91" s="23" t="s">
        <v>146</v>
      </c>
      <c r="G91" s="23" t="s">
        <v>146</v>
      </c>
    </row>
    <row r="92" customHeight="1" spans="2:7">
      <c r="B92" s="23" t="s">
        <v>163</v>
      </c>
      <c r="C92" s="23" t="s">
        <v>164</v>
      </c>
      <c r="D92" s="23" t="s">
        <v>163</v>
      </c>
      <c r="E92" s="23" t="s">
        <v>165</v>
      </c>
      <c r="F92" s="23" t="s">
        <v>146</v>
      </c>
      <c r="G92" s="23" t="s">
        <v>146</v>
      </c>
    </row>
    <row r="93" customHeight="1" spans="2:7">
      <c r="B93" s="23" t="s">
        <v>166</v>
      </c>
      <c r="C93" s="23" t="s">
        <v>167</v>
      </c>
      <c r="D93" s="23" t="s">
        <v>166</v>
      </c>
      <c r="E93" s="23" t="s">
        <v>165</v>
      </c>
      <c r="F93" s="23" t="s">
        <v>146</v>
      </c>
      <c r="G93" s="23" t="s">
        <v>146</v>
      </c>
    </row>
    <row r="94" customHeight="1" spans="2:7">
      <c r="B94" s="23" t="s">
        <v>168</v>
      </c>
      <c r="C94" s="23" t="s">
        <v>169</v>
      </c>
      <c r="D94" s="23" t="s">
        <v>168</v>
      </c>
      <c r="E94" s="23" t="s">
        <v>22</v>
      </c>
      <c r="F94" s="23" t="s">
        <v>146</v>
      </c>
      <c r="G94" s="23" t="s">
        <v>146</v>
      </c>
    </row>
    <row r="95" customHeight="1" spans="2:7">
      <c r="B95" s="23" t="s">
        <v>170</v>
      </c>
      <c r="C95" s="23" t="s">
        <v>171</v>
      </c>
      <c r="D95" s="23" t="s">
        <v>170</v>
      </c>
      <c r="E95" s="23" t="s">
        <v>162</v>
      </c>
      <c r="F95" s="23" t="s">
        <v>172</v>
      </c>
      <c r="G95" s="23" t="s">
        <v>173</v>
      </c>
    </row>
    <row r="96" customHeight="1" spans="2:7">
      <c r="B96" s="23" t="s">
        <v>174</v>
      </c>
      <c r="C96" s="23" t="s">
        <v>175</v>
      </c>
      <c r="D96" s="23" t="s">
        <v>174</v>
      </c>
      <c r="E96" s="23" t="s">
        <v>102</v>
      </c>
      <c r="F96" s="23" t="s">
        <v>172</v>
      </c>
      <c r="G96" s="23" t="s">
        <v>173</v>
      </c>
    </row>
    <row r="97" customHeight="1" spans="2:7">
      <c r="B97" s="23" t="s">
        <v>176</v>
      </c>
      <c r="C97" s="23" t="s">
        <v>177</v>
      </c>
      <c r="D97" s="23" t="s">
        <v>176</v>
      </c>
      <c r="E97" s="23" t="s">
        <v>178</v>
      </c>
      <c r="F97" s="23" t="s">
        <v>12</v>
      </c>
      <c r="G97" s="23" t="s">
        <v>13</v>
      </c>
    </row>
    <row r="98" customHeight="1" spans="2:7">
      <c r="B98" s="23" t="s">
        <v>179</v>
      </c>
      <c r="C98" s="23" t="s">
        <v>180</v>
      </c>
      <c r="D98" s="23" t="s">
        <v>179</v>
      </c>
      <c r="E98" s="23" t="s">
        <v>152</v>
      </c>
      <c r="F98" s="23" t="s">
        <v>85</v>
      </c>
      <c r="G98" s="23" t="s">
        <v>41</v>
      </c>
    </row>
    <row r="99" customHeight="1" spans="2:7">
      <c r="B99" s="23" t="s">
        <v>181</v>
      </c>
      <c r="C99" s="23" t="s">
        <v>182</v>
      </c>
      <c r="D99" s="23" t="s">
        <v>181</v>
      </c>
      <c r="E99" s="23" t="s">
        <v>22</v>
      </c>
      <c r="F99" s="23" t="s">
        <v>12</v>
      </c>
      <c r="G99" s="23" t="s">
        <v>13</v>
      </c>
    </row>
    <row r="100" customHeight="1" spans="2:7">
      <c r="B100" s="23" t="s">
        <v>183</v>
      </c>
      <c r="C100" s="23" t="s">
        <v>184</v>
      </c>
      <c r="D100" s="23" t="s">
        <v>183</v>
      </c>
      <c r="E100" s="23" t="s">
        <v>94</v>
      </c>
      <c r="F100" s="23" t="s">
        <v>54</v>
      </c>
      <c r="G100" s="23" t="s">
        <v>13</v>
      </c>
    </row>
    <row r="101" customHeight="1" spans="2:7">
      <c r="B101" s="23" t="s">
        <v>185</v>
      </c>
      <c r="C101" s="23" t="s">
        <v>186</v>
      </c>
      <c r="D101" s="23" t="s">
        <v>185</v>
      </c>
      <c r="E101" s="23" t="s">
        <v>22</v>
      </c>
      <c r="F101" s="23" t="s">
        <v>12</v>
      </c>
      <c r="G101" s="23" t="s">
        <v>13</v>
      </c>
    </row>
    <row r="102" customHeight="1" spans="2:7">
      <c r="B102" s="23" t="s">
        <v>187</v>
      </c>
      <c r="C102" s="23" t="s">
        <v>188</v>
      </c>
      <c r="D102" s="23" t="s">
        <v>187</v>
      </c>
      <c r="E102" s="23" t="s">
        <v>51</v>
      </c>
      <c r="F102" s="23" t="s">
        <v>85</v>
      </c>
      <c r="G102" s="23" t="s">
        <v>41</v>
      </c>
    </row>
    <row r="103" customHeight="1" spans="2:7">
      <c r="B103" s="23" t="s">
        <v>189</v>
      </c>
      <c r="C103" s="23" t="s">
        <v>188</v>
      </c>
      <c r="D103" s="23" t="s">
        <v>189</v>
      </c>
      <c r="E103" s="23" t="s">
        <v>51</v>
      </c>
      <c r="F103" s="23" t="s">
        <v>85</v>
      </c>
      <c r="G103" s="23" t="s">
        <v>41</v>
      </c>
    </row>
    <row r="104" customHeight="1" spans="2:7">
      <c r="B104" s="23" t="s">
        <v>190</v>
      </c>
      <c r="C104" s="23" t="s">
        <v>188</v>
      </c>
      <c r="D104" s="23" t="s">
        <v>190</v>
      </c>
      <c r="E104" s="23" t="s">
        <v>51</v>
      </c>
      <c r="F104" s="23" t="s">
        <v>85</v>
      </c>
      <c r="G104" s="23" t="s">
        <v>41</v>
      </c>
    </row>
    <row r="105" customHeight="1" spans="2:7">
      <c r="B105" s="23" t="s">
        <v>191</v>
      </c>
      <c r="C105" s="23" t="s">
        <v>192</v>
      </c>
      <c r="D105" s="23" t="s">
        <v>191</v>
      </c>
      <c r="E105" s="23" t="s">
        <v>162</v>
      </c>
      <c r="F105" s="23" t="s">
        <v>54</v>
      </c>
      <c r="G105" s="23" t="s">
        <v>13</v>
      </c>
    </row>
    <row r="106" customHeight="1" spans="2:7">
      <c r="B106" s="23" t="s">
        <v>193</v>
      </c>
      <c r="C106" s="23" t="s">
        <v>194</v>
      </c>
      <c r="D106" s="23" t="s">
        <v>193</v>
      </c>
      <c r="E106" s="23" t="s">
        <v>94</v>
      </c>
      <c r="F106" s="23" t="s">
        <v>131</v>
      </c>
      <c r="G106" s="23" t="s">
        <v>96</v>
      </c>
    </row>
    <row r="107" customHeight="1" spans="2:7">
      <c r="B107" s="23" t="s">
        <v>195</v>
      </c>
      <c r="C107" s="23" t="s">
        <v>196</v>
      </c>
      <c r="D107" s="23" t="s">
        <v>195</v>
      </c>
      <c r="E107" s="23" t="s">
        <v>11</v>
      </c>
      <c r="F107" s="23" t="s">
        <v>12</v>
      </c>
      <c r="G107" s="23" t="s">
        <v>13</v>
      </c>
    </row>
    <row r="108" customHeight="1" spans="2:7">
      <c r="B108" s="23" t="s">
        <v>197</v>
      </c>
      <c r="C108" s="23" t="s">
        <v>198</v>
      </c>
      <c r="D108" s="23" t="s">
        <v>197</v>
      </c>
      <c r="E108" s="23" t="s">
        <v>11</v>
      </c>
      <c r="F108" s="23" t="s">
        <v>99</v>
      </c>
      <c r="G108" s="23" t="s">
        <v>13</v>
      </c>
    </row>
    <row r="109" customHeight="1" spans="2:7">
      <c r="B109" s="23" t="s">
        <v>199</v>
      </c>
      <c r="C109" s="23" t="s">
        <v>200</v>
      </c>
      <c r="D109" s="23" t="s">
        <v>199</v>
      </c>
      <c r="E109" s="23" t="s">
        <v>117</v>
      </c>
      <c r="F109" s="23" t="s">
        <v>131</v>
      </c>
      <c r="G109" s="23" t="s">
        <v>96</v>
      </c>
    </row>
    <row r="110" customHeight="1" spans="2:7">
      <c r="B110" s="23" t="s">
        <v>201</v>
      </c>
      <c r="C110" s="23" t="s">
        <v>202</v>
      </c>
      <c r="D110" s="23" t="s">
        <v>201</v>
      </c>
      <c r="E110" s="23" t="s">
        <v>11</v>
      </c>
      <c r="F110" s="23" t="s">
        <v>131</v>
      </c>
      <c r="G110" s="23" t="s">
        <v>96</v>
      </c>
    </row>
    <row r="111" customHeight="1" spans="2:7">
      <c r="B111" s="23" t="s">
        <v>203</v>
      </c>
      <c r="C111" s="23" t="s">
        <v>204</v>
      </c>
      <c r="D111" s="23" t="s">
        <v>203</v>
      </c>
      <c r="E111" s="23" t="s">
        <v>205</v>
      </c>
      <c r="F111" s="23" t="s">
        <v>54</v>
      </c>
      <c r="G111" s="23" t="s">
        <v>13</v>
      </c>
    </row>
    <row r="112" customHeight="1" spans="2:7">
      <c r="B112" s="23" t="s">
        <v>206</v>
      </c>
      <c r="C112" s="23" t="s">
        <v>207</v>
      </c>
      <c r="D112" s="23" t="s">
        <v>206</v>
      </c>
      <c r="E112" s="23" t="s">
        <v>22</v>
      </c>
      <c r="F112" s="23" t="s">
        <v>54</v>
      </c>
      <c r="G112" s="23" t="s">
        <v>13</v>
      </c>
    </row>
    <row r="113" customHeight="1" spans="2:7">
      <c r="B113" s="23" t="s">
        <v>208</v>
      </c>
      <c r="C113" s="23" t="s">
        <v>209</v>
      </c>
      <c r="D113" s="23" t="s">
        <v>208</v>
      </c>
      <c r="E113" s="23" t="s">
        <v>51</v>
      </c>
      <c r="F113" s="23" t="s">
        <v>12</v>
      </c>
      <c r="G113" s="23" t="s">
        <v>41</v>
      </c>
    </row>
    <row r="114" customHeight="1" spans="2:7">
      <c r="B114" s="23" t="s">
        <v>210</v>
      </c>
      <c r="C114" s="23" t="s">
        <v>211</v>
      </c>
      <c r="D114" s="23" t="s">
        <v>210</v>
      </c>
      <c r="E114" s="23" t="s">
        <v>11</v>
      </c>
      <c r="F114" s="23" t="s">
        <v>54</v>
      </c>
      <c r="G114" s="23" t="s">
        <v>41</v>
      </c>
    </row>
    <row r="115" customHeight="1" spans="2:7">
      <c r="B115" s="23" t="s">
        <v>212</v>
      </c>
      <c r="C115" s="23" t="s">
        <v>213</v>
      </c>
      <c r="D115" s="23" t="s">
        <v>212</v>
      </c>
      <c r="E115" s="23" t="s">
        <v>94</v>
      </c>
      <c r="F115" s="23" t="s">
        <v>12</v>
      </c>
      <c r="G115" s="23" t="s">
        <v>13</v>
      </c>
    </row>
    <row r="116" customHeight="1" spans="2:7">
      <c r="B116" s="23" t="s">
        <v>214</v>
      </c>
      <c r="C116" s="23" t="s">
        <v>215</v>
      </c>
      <c r="D116" s="23" t="s">
        <v>214</v>
      </c>
      <c r="E116" s="23" t="s">
        <v>22</v>
      </c>
      <c r="F116" s="23" t="s">
        <v>54</v>
      </c>
      <c r="G116" s="23" t="s">
        <v>13</v>
      </c>
    </row>
    <row r="117" customHeight="1" spans="2:7">
      <c r="B117" s="23" t="s">
        <v>216</v>
      </c>
      <c r="C117" s="23" t="s">
        <v>217</v>
      </c>
      <c r="D117" s="23" t="s">
        <v>216</v>
      </c>
      <c r="E117" s="23" t="s">
        <v>51</v>
      </c>
      <c r="F117" s="23" t="s">
        <v>12</v>
      </c>
      <c r="G117" s="23" t="s">
        <v>41</v>
      </c>
    </row>
    <row r="118" customHeight="1" spans="2:7">
      <c r="B118" s="23" t="s">
        <v>97</v>
      </c>
      <c r="C118" s="23" t="s">
        <v>218</v>
      </c>
      <c r="D118" s="23" t="s">
        <v>97</v>
      </c>
      <c r="E118" s="23" t="s">
        <v>11</v>
      </c>
      <c r="F118" s="23" t="s">
        <v>54</v>
      </c>
      <c r="G118" s="23" t="s">
        <v>13</v>
      </c>
    </row>
    <row r="119" customHeight="1" spans="2:7">
      <c r="B119" s="47" t="s">
        <v>219</v>
      </c>
      <c r="C119" s="47" t="s">
        <v>220</v>
      </c>
      <c r="D119" s="47" t="s">
        <v>219</v>
      </c>
      <c r="E119" s="47" t="s">
        <v>11</v>
      </c>
      <c r="F119" s="47" t="s">
        <v>12</v>
      </c>
      <c r="G119" s="47" t="s">
        <v>13</v>
      </c>
    </row>
    <row r="120" customHeight="1" spans="2:7">
      <c r="B120" s="47" t="s">
        <v>221</v>
      </c>
      <c r="C120" s="47" t="s">
        <v>222</v>
      </c>
      <c r="D120" s="47" t="s">
        <v>221</v>
      </c>
      <c r="E120" s="47" t="s">
        <v>74</v>
      </c>
      <c r="F120" s="47" t="s">
        <v>12</v>
      </c>
      <c r="G120" s="47" t="s">
        <v>41</v>
      </c>
    </row>
    <row r="121" customHeight="1" spans="2:7">
      <c r="B121" s="47" t="s">
        <v>97</v>
      </c>
      <c r="C121" s="47" t="s">
        <v>223</v>
      </c>
      <c r="D121" s="47" t="s">
        <v>97</v>
      </c>
      <c r="E121" s="47" t="s">
        <v>11</v>
      </c>
      <c r="F121" s="47" t="s">
        <v>54</v>
      </c>
      <c r="G121" s="47" t="s">
        <v>13</v>
      </c>
    </row>
    <row r="122" customHeight="1" spans="2:7">
      <c r="B122" s="47" t="s">
        <v>97</v>
      </c>
      <c r="C122" s="47" t="s">
        <v>224</v>
      </c>
      <c r="D122" s="47" t="s">
        <v>97</v>
      </c>
      <c r="E122" s="47" t="s">
        <v>11</v>
      </c>
      <c r="F122" s="47" t="s">
        <v>54</v>
      </c>
      <c r="G122" s="47" t="s">
        <v>13</v>
      </c>
    </row>
    <row r="123" customHeight="1" spans="2:7">
      <c r="B123" s="47" t="s">
        <v>33</v>
      </c>
      <c r="C123" s="47" t="s">
        <v>225</v>
      </c>
      <c r="D123" s="47" t="s">
        <v>33</v>
      </c>
      <c r="E123" s="47" t="s">
        <v>22</v>
      </c>
      <c r="F123" s="47" t="s">
        <v>12</v>
      </c>
      <c r="G123" s="47" t="s">
        <v>13</v>
      </c>
    </row>
    <row r="124" customHeight="1" spans="2:7">
      <c r="B124" s="47" t="s">
        <v>226</v>
      </c>
      <c r="C124" s="47" t="s">
        <v>227</v>
      </c>
      <c r="D124" s="47" t="s">
        <v>226</v>
      </c>
      <c r="E124" s="47" t="s">
        <v>22</v>
      </c>
      <c r="F124" s="47" t="s">
        <v>12</v>
      </c>
      <c r="G124" s="47" t="s">
        <v>13</v>
      </c>
    </row>
    <row r="125" customHeight="1" spans="2:7">
      <c r="B125" s="29" t="s">
        <v>228</v>
      </c>
      <c r="C125" s="29" t="s">
        <v>229</v>
      </c>
      <c r="D125" s="29" t="s">
        <v>228</v>
      </c>
      <c r="E125" s="29" t="s">
        <v>31</v>
      </c>
      <c r="F125" s="47" t="s">
        <v>131</v>
      </c>
      <c r="G125" s="47" t="s">
        <v>96</v>
      </c>
    </row>
    <row r="126" customHeight="1" spans="2:7">
      <c r="B126" s="29" t="s">
        <v>228</v>
      </c>
      <c r="C126" s="29" t="s">
        <v>230</v>
      </c>
      <c r="D126" s="29" t="s">
        <v>228</v>
      </c>
      <c r="E126" s="29" t="s">
        <v>31</v>
      </c>
      <c r="F126" s="47" t="s">
        <v>131</v>
      </c>
      <c r="G126" s="47" t="s">
        <v>96</v>
      </c>
    </row>
    <row r="127" customHeight="1" spans="2:7">
      <c r="B127" s="29" t="s">
        <v>228</v>
      </c>
      <c r="C127" s="29" t="s">
        <v>231</v>
      </c>
      <c r="D127" s="29" t="s">
        <v>228</v>
      </c>
      <c r="E127" s="29" t="s">
        <v>31</v>
      </c>
      <c r="F127" s="47" t="s">
        <v>131</v>
      </c>
      <c r="G127" s="47" t="s">
        <v>96</v>
      </c>
    </row>
    <row r="128" customHeight="1" spans="2:7">
      <c r="B128" s="29" t="s">
        <v>228</v>
      </c>
      <c r="C128" s="29" t="s">
        <v>232</v>
      </c>
      <c r="D128" s="29" t="s">
        <v>228</v>
      </c>
      <c r="E128" s="29" t="s">
        <v>31</v>
      </c>
      <c r="F128" s="47" t="s">
        <v>131</v>
      </c>
      <c r="G128" s="47" t="s">
        <v>96</v>
      </c>
    </row>
    <row r="129" customHeight="1" spans="2:7">
      <c r="B129" s="29" t="s">
        <v>228</v>
      </c>
      <c r="C129" s="29" t="s">
        <v>233</v>
      </c>
      <c r="D129" s="29" t="s">
        <v>228</v>
      </c>
      <c r="E129" s="29" t="s">
        <v>31</v>
      </c>
      <c r="F129" s="47" t="s">
        <v>131</v>
      </c>
      <c r="G129" s="47" t="s">
        <v>96</v>
      </c>
    </row>
    <row r="130" customHeight="1" spans="2:7">
      <c r="B130" s="29" t="s">
        <v>228</v>
      </c>
      <c r="C130" s="29" t="s">
        <v>234</v>
      </c>
      <c r="D130" s="29" t="s">
        <v>228</v>
      </c>
      <c r="E130" s="29" t="s">
        <v>31</v>
      </c>
      <c r="F130" s="47" t="s">
        <v>131</v>
      </c>
      <c r="G130" s="47" t="s">
        <v>96</v>
      </c>
    </row>
    <row r="131" customHeight="1" spans="2:7">
      <c r="B131" s="29" t="s">
        <v>228</v>
      </c>
      <c r="C131" s="29" t="s">
        <v>235</v>
      </c>
      <c r="D131" s="29" t="s">
        <v>228</v>
      </c>
      <c r="E131" s="29" t="s">
        <v>31</v>
      </c>
      <c r="F131" s="47" t="s">
        <v>131</v>
      </c>
      <c r="G131" s="47" t="s">
        <v>96</v>
      </c>
    </row>
    <row r="132" customHeight="1" spans="2:7">
      <c r="B132" s="29" t="s">
        <v>236</v>
      </c>
      <c r="C132" s="29" t="s">
        <v>237</v>
      </c>
      <c r="D132" s="29" t="s">
        <v>236</v>
      </c>
      <c r="E132" s="29" t="s">
        <v>11</v>
      </c>
      <c r="F132" s="47" t="s">
        <v>99</v>
      </c>
      <c r="G132" s="47" t="s">
        <v>13</v>
      </c>
    </row>
    <row r="133" customHeight="1" spans="2:7">
      <c r="B133" s="29" t="s">
        <v>238</v>
      </c>
      <c r="C133" s="29" t="s">
        <v>239</v>
      </c>
      <c r="D133" s="29" t="s">
        <v>238</v>
      </c>
      <c r="E133" s="29" t="s">
        <v>121</v>
      </c>
      <c r="F133" s="47" t="s">
        <v>99</v>
      </c>
      <c r="G133" s="47" t="s">
        <v>41</v>
      </c>
    </row>
    <row r="134" customHeight="1" spans="2:7">
      <c r="B134" s="29" t="s">
        <v>240</v>
      </c>
      <c r="C134" s="29" t="s">
        <v>241</v>
      </c>
      <c r="D134" s="29" t="s">
        <v>240</v>
      </c>
      <c r="E134" s="29" t="s">
        <v>74</v>
      </c>
      <c r="F134" s="29" t="s">
        <v>146</v>
      </c>
      <c r="G134" s="29" t="s">
        <v>146</v>
      </c>
    </row>
    <row r="135" customHeight="1" spans="2:7">
      <c r="B135" s="29" t="s">
        <v>242</v>
      </c>
      <c r="C135" s="29" t="s">
        <v>243</v>
      </c>
      <c r="D135" s="29" t="s">
        <v>242</v>
      </c>
      <c r="E135" s="29" t="s">
        <v>65</v>
      </c>
      <c r="F135" s="29" t="s">
        <v>146</v>
      </c>
      <c r="G135" s="29" t="s">
        <v>146</v>
      </c>
    </row>
    <row r="136" customHeight="1" spans="2:7">
      <c r="B136" s="29" t="s">
        <v>244</v>
      </c>
      <c r="C136" s="29" t="s">
        <v>244</v>
      </c>
      <c r="D136" s="29" t="s">
        <v>244</v>
      </c>
      <c r="E136" s="29" t="s">
        <v>156</v>
      </c>
      <c r="F136" s="29" t="s">
        <v>146</v>
      </c>
      <c r="G136" s="29" t="s">
        <v>146</v>
      </c>
    </row>
    <row r="137" customHeight="1" spans="2:7">
      <c r="B137" s="29" t="s">
        <v>245</v>
      </c>
      <c r="C137" s="29" t="s">
        <v>246</v>
      </c>
      <c r="D137" s="29" t="s">
        <v>245</v>
      </c>
      <c r="E137" s="29" t="s">
        <v>51</v>
      </c>
      <c r="F137" s="29" t="s">
        <v>99</v>
      </c>
      <c r="G137" s="29" t="s">
        <v>41</v>
      </c>
    </row>
    <row r="138" customHeight="1" spans="2:7">
      <c r="B138" s="29" t="s">
        <v>247</v>
      </c>
      <c r="C138" s="29" t="s">
        <v>246</v>
      </c>
      <c r="D138" s="29" t="s">
        <v>247</v>
      </c>
      <c r="E138" s="29" t="s">
        <v>51</v>
      </c>
      <c r="F138" s="29" t="s">
        <v>99</v>
      </c>
      <c r="G138" s="29" t="s">
        <v>41</v>
      </c>
    </row>
    <row r="139" customHeight="1" spans="2:7">
      <c r="B139" s="29" t="s">
        <v>248</v>
      </c>
      <c r="C139" s="29" t="s">
        <v>248</v>
      </c>
      <c r="D139" s="29" t="s">
        <v>248</v>
      </c>
      <c r="E139" s="29" t="s">
        <v>51</v>
      </c>
      <c r="F139" s="29" t="s">
        <v>12</v>
      </c>
      <c r="G139" s="29" t="s">
        <v>41</v>
      </c>
    </row>
    <row r="140" customHeight="1" spans="2:7">
      <c r="B140" s="29" t="s">
        <v>249</v>
      </c>
      <c r="C140" s="29" t="s">
        <v>250</v>
      </c>
      <c r="D140" s="29" t="s">
        <v>249</v>
      </c>
      <c r="E140" s="29" t="s">
        <v>152</v>
      </c>
      <c r="F140" s="29" t="s">
        <v>85</v>
      </c>
      <c r="G140" s="29" t="s">
        <v>41</v>
      </c>
    </row>
    <row r="141" customHeight="1" spans="2:7">
      <c r="B141" s="29" t="s">
        <v>251</v>
      </c>
      <c r="C141" s="29" t="s">
        <v>252</v>
      </c>
      <c r="D141" s="29" t="s">
        <v>251</v>
      </c>
      <c r="E141" s="29" t="s">
        <v>51</v>
      </c>
      <c r="F141" s="29" t="s">
        <v>54</v>
      </c>
      <c r="G141" s="29" t="s">
        <v>41</v>
      </c>
    </row>
    <row r="142" customHeight="1" spans="2:7">
      <c r="B142" s="29" t="s">
        <v>253</v>
      </c>
      <c r="C142" s="29" t="s">
        <v>254</v>
      </c>
      <c r="D142" s="29" t="s">
        <v>253</v>
      </c>
      <c r="E142" s="29" t="s">
        <v>51</v>
      </c>
      <c r="F142" s="29" t="s">
        <v>99</v>
      </c>
      <c r="G142" s="29" t="s">
        <v>41</v>
      </c>
    </row>
    <row r="143" customHeight="1" spans="2:7">
      <c r="B143" s="29" t="s">
        <v>255</v>
      </c>
      <c r="C143" s="29" t="s">
        <v>256</v>
      </c>
      <c r="D143" s="29" t="s">
        <v>255</v>
      </c>
      <c r="E143" s="29" t="s">
        <v>257</v>
      </c>
      <c r="F143" s="29" t="s">
        <v>99</v>
      </c>
      <c r="G143" s="29" t="s">
        <v>41</v>
      </c>
    </row>
    <row r="144" customHeight="1" spans="2:7">
      <c r="B144" s="29" t="s">
        <v>258</v>
      </c>
      <c r="C144" s="29" t="s">
        <v>256</v>
      </c>
      <c r="D144" s="29" t="s">
        <v>258</v>
      </c>
      <c r="E144" s="29" t="s">
        <v>257</v>
      </c>
      <c r="F144" s="29" t="s">
        <v>99</v>
      </c>
      <c r="G144" s="29" t="s">
        <v>41</v>
      </c>
    </row>
    <row r="145" customHeight="1" spans="2:7">
      <c r="B145" s="29" t="s">
        <v>259</v>
      </c>
      <c r="C145" s="29" t="s">
        <v>260</v>
      </c>
      <c r="D145" s="29" t="s">
        <v>259</v>
      </c>
      <c r="E145" s="29" t="s">
        <v>257</v>
      </c>
      <c r="F145" s="29" t="s">
        <v>99</v>
      </c>
      <c r="G145" s="29" t="s">
        <v>41</v>
      </c>
    </row>
    <row r="146" customHeight="1" spans="2:7">
      <c r="B146" s="29" t="s">
        <v>261</v>
      </c>
      <c r="C146" s="29" t="s">
        <v>262</v>
      </c>
      <c r="D146" s="29" t="s">
        <v>261</v>
      </c>
      <c r="E146" s="29" t="s">
        <v>94</v>
      </c>
      <c r="F146" s="29" t="s">
        <v>99</v>
      </c>
      <c r="G146" s="29" t="s">
        <v>41</v>
      </c>
    </row>
    <row r="147" customHeight="1" spans="2:7">
      <c r="B147" s="29" t="s">
        <v>263</v>
      </c>
      <c r="C147" s="29" t="s">
        <v>264</v>
      </c>
      <c r="D147" s="29" t="s">
        <v>263</v>
      </c>
      <c r="E147" s="29" t="s">
        <v>11</v>
      </c>
      <c r="F147" s="29" t="s">
        <v>146</v>
      </c>
      <c r="G147" s="29" t="s">
        <v>146</v>
      </c>
    </row>
    <row r="148" customHeight="1" spans="2:7">
      <c r="B148" s="29" t="s">
        <v>265</v>
      </c>
      <c r="C148" s="29" t="s">
        <v>266</v>
      </c>
      <c r="D148" s="29" t="s">
        <v>265</v>
      </c>
      <c r="E148" s="29" t="s">
        <v>11</v>
      </c>
      <c r="F148" s="29" t="s">
        <v>99</v>
      </c>
      <c r="G148" s="29" t="s">
        <v>13</v>
      </c>
    </row>
    <row r="149" customHeight="1" spans="2:7">
      <c r="B149" s="29" t="s">
        <v>267</v>
      </c>
      <c r="C149" s="29" t="s">
        <v>268</v>
      </c>
      <c r="D149" s="29" t="s">
        <v>267</v>
      </c>
      <c r="E149" s="29" t="s">
        <v>162</v>
      </c>
      <c r="F149" s="29" t="s">
        <v>99</v>
      </c>
      <c r="G149" s="29" t="s">
        <v>13</v>
      </c>
    </row>
    <row r="150" customHeight="1" spans="2:7">
      <c r="B150" s="29" t="s">
        <v>269</v>
      </c>
      <c r="C150" s="29" t="s">
        <v>270</v>
      </c>
      <c r="D150" s="29" t="s">
        <v>269</v>
      </c>
      <c r="E150" s="29" t="s">
        <v>271</v>
      </c>
      <c r="F150" s="29" t="s">
        <v>12</v>
      </c>
      <c r="G150" s="29" t="s">
        <v>13</v>
      </c>
    </row>
    <row r="151" customHeight="1" spans="2:7">
      <c r="B151" s="29" t="s">
        <v>56</v>
      </c>
      <c r="C151" s="29" t="s">
        <v>272</v>
      </c>
      <c r="D151" s="29" t="s">
        <v>56</v>
      </c>
      <c r="E151" s="29" t="s">
        <v>22</v>
      </c>
      <c r="F151" s="29" t="s">
        <v>99</v>
      </c>
      <c r="G151" s="29" t="s">
        <v>13</v>
      </c>
    </row>
    <row r="152" customHeight="1" spans="2:7">
      <c r="B152" s="29" t="s">
        <v>273</v>
      </c>
      <c r="C152" s="29" t="s">
        <v>274</v>
      </c>
      <c r="D152" s="29" t="s">
        <v>273</v>
      </c>
      <c r="E152" s="29" t="s">
        <v>271</v>
      </c>
      <c r="F152" s="29" t="s">
        <v>99</v>
      </c>
      <c r="G152" s="29" t="s">
        <v>13</v>
      </c>
    </row>
    <row r="153" customHeight="1" spans="2:7">
      <c r="B153" s="29" t="s">
        <v>275</v>
      </c>
      <c r="C153" s="29" t="s">
        <v>276</v>
      </c>
      <c r="D153" s="29" t="s">
        <v>275</v>
      </c>
      <c r="E153" s="29" t="s">
        <v>271</v>
      </c>
      <c r="F153" s="29" t="s">
        <v>99</v>
      </c>
      <c r="G153" s="29" t="s">
        <v>13</v>
      </c>
    </row>
    <row r="154" customHeight="1" spans="2:7">
      <c r="B154" s="48" t="s">
        <v>277</v>
      </c>
      <c r="C154" s="48" t="s">
        <v>278</v>
      </c>
      <c r="D154" s="48" t="s">
        <v>277</v>
      </c>
      <c r="E154" s="49" t="s">
        <v>11</v>
      </c>
      <c r="F154" s="49" t="s">
        <v>12</v>
      </c>
      <c r="G154" s="49" t="s">
        <v>13</v>
      </c>
    </row>
    <row r="155" customHeight="1" spans="2:7">
      <c r="B155" s="48" t="s">
        <v>279</v>
      </c>
      <c r="C155" s="48" t="s">
        <v>280</v>
      </c>
      <c r="D155" s="48" t="s">
        <v>279</v>
      </c>
      <c r="E155" s="49" t="s">
        <v>11</v>
      </c>
      <c r="F155" s="49" t="s">
        <v>12</v>
      </c>
      <c r="G155" s="49" t="s">
        <v>13</v>
      </c>
    </row>
    <row r="156" customHeight="1" spans="2:7">
      <c r="B156" s="48" t="s">
        <v>281</v>
      </c>
      <c r="C156" s="48" t="s">
        <v>282</v>
      </c>
      <c r="D156" s="48" t="s">
        <v>281</v>
      </c>
      <c r="E156" s="49" t="s">
        <v>11</v>
      </c>
      <c r="F156" s="49" t="s">
        <v>12</v>
      </c>
      <c r="G156" s="49" t="s">
        <v>13</v>
      </c>
    </row>
    <row r="157" customHeight="1" spans="2:7">
      <c r="B157" s="48" t="s">
        <v>283</v>
      </c>
      <c r="C157" s="48" t="s">
        <v>283</v>
      </c>
      <c r="D157" s="48" t="s">
        <v>283</v>
      </c>
      <c r="E157" s="49" t="s">
        <v>11</v>
      </c>
      <c r="F157" s="49" t="s">
        <v>12</v>
      </c>
      <c r="G157" s="49" t="s">
        <v>13</v>
      </c>
    </row>
  </sheetData>
  <printOptions gridLines="1"/>
  <pageMargins left="0.751388888888889" right="0.751388888888889" top="0.550694444444444" bottom="0.590277777777778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142"/>
  <sheetViews>
    <sheetView tabSelected="1" zoomScale="85" zoomScaleNormal="85" workbookViewId="0">
      <pane xSplit="2" ySplit="2" topLeftCell="C121" activePane="bottomRight" state="frozen"/>
      <selection/>
      <selection pane="topRight"/>
      <selection pane="bottomLeft"/>
      <selection pane="bottomRight" activeCell="L138" sqref="L138"/>
    </sheetView>
  </sheetViews>
  <sheetFormatPr defaultColWidth="9" defaultRowHeight="20" customHeight="1"/>
  <cols>
    <col min="1" max="1" width="15.6666666666667" style="31" customWidth="1"/>
    <col min="2" max="2" width="13.825" style="32" customWidth="1"/>
    <col min="3" max="3" width="22.625" style="32" customWidth="1"/>
    <col min="4" max="4" width="32.0916666666667" style="32" customWidth="1"/>
    <col min="5" max="5" width="9.225" style="32" customWidth="1"/>
    <col min="6" max="6" width="15.8083333333333" style="32" customWidth="1"/>
    <col min="7" max="7" width="9.225" style="32" customWidth="1"/>
    <col min="8" max="8" width="11.8916666666667" style="32" customWidth="1"/>
    <col min="9" max="9" width="23.1083333333333" style="32" customWidth="1"/>
    <col min="10" max="10" width="25.1083333333333" style="32" customWidth="1"/>
    <col min="11" max="11" width="20.8916666666667" style="32" customWidth="1"/>
    <col min="12" max="12" width="23.1083333333333" style="32" customWidth="1"/>
    <col min="13" max="13" width="18.225" style="32" customWidth="1"/>
    <col min="14" max="14" width="30.8916666666667" style="32" customWidth="1"/>
    <col min="15" max="15" width="9" style="32"/>
    <col min="16" max="22" width="12.8833333333333" style="32"/>
    <col min="23" max="23" width="5.13333333333333" style="32"/>
    <col min="24" max="16384" width="9" style="32"/>
  </cols>
  <sheetData>
    <row r="1" s="30" customFormat="1" customHeight="1" spans="1:14">
      <c r="A1" s="33" t="s">
        <v>284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ht="38" customHeight="1" spans="1:14">
      <c r="A2" s="35" t="s">
        <v>285</v>
      </c>
      <c r="B2" s="36" t="s">
        <v>0</v>
      </c>
      <c r="C2" s="37" t="s">
        <v>1</v>
      </c>
      <c r="D2" s="37" t="s">
        <v>2</v>
      </c>
      <c r="E2" s="37" t="s">
        <v>3</v>
      </c>
      <c r="F2" s="37" t="s">
        <v>4</v>
      </c>
      <c r="G2" s="37" t="s">
        <v>5</v>
      </c>
      <c r="H2" s="38" t="s">
        <v>286</v>
      </c>
      <c r="I2" s="38" t="s">
        <v>287</v>
      </c>
      <c r="J2" s="38" t="s">
        <v>288</v>
      </c>
      <c r="K2" s="38" t="s">
        <v>289</v>
      </c>
      <c r="L2" s="37" t="s">
        <v>7</v>
      </c>
      <c r="M2" s="37" t="s">
        <v>6</v>
      </c>
      <c r="N2" s="38" t="s">
        <v>290</v>
      </c>
    </row>
    <row r="3" customHeight="1" spans="1:14">
      <c r="A3" s="39">
        <v>45962</v>
      </c>
      <c r="B3" s="40" t="s">
        <v>8</v>
      </c>
      <c r="C3" s="23" t="str">
        <f>VLOOKUP(D3,物资目录!C:G,2,FALSE)</f>
        <v>榕工机扫车扫刷</v>
      </c>
      <c r="D3" s="23" t="s">
        <v>88</v>
      </c>
      <c r="E3" s="23" t="str">
        <f>VLOOKUP(D3,物资目录!C:G,3,FALSE)</f>
        <v>把</v>
      </c>
      <c r="F3" s="23" t="str">
        <f>VLOOKUP(D3,物资目录!C:G,4,FALSE)</f>
        <v>机械化保洁</v>
      </c>
      <c r="G3" s="23" t="str">
        <f>VLOOKUP(D3,物资目录!C:G,5,FALSE)</f>
        <v>耗材类</v>
      </c>
      <c r="H3" s="40">
        <v>20</v>
      </c>
      <c r="I3" s="40"/>
      <c r="J3" s="40"/>
      <c r="K3" s="40"/>
      <c r="L3" s="40" t="s">
        <v>19</v>
      </c>
      <c r="M3" s="40"/>
      <c r="N3" s="40"/>
    </row>
    <row r="4" customHeight="1" spans="1:14">
      <c r="A4" s="39">
        <v>45962</v>
      </c>
      <c r="B4" s="40" t="s">
        <v>8</v>
      </c>
      <c r="C4" s="23" t="str">
        <f>VLOOKUP(D4,物资目录!C:G,2,FALSE)</f>
        <v>道路保洁扫把</v>
      </c>
      <c r="D4" s="23" t="s">
        <v>24</v>
      </c>
      <c r="E4" s="23" t="str">
        <f>VLOOKUP(D4,物资目录!C:G,3,FALSE)</f>
        <v>把</v>
      </c>
      <c r="F4" s="23" t="str">
        <f>VLOOKUP(D4,物资目录!C:G,4,FALSE)</f>
        <v>道路保洁</v>
      </c>
      <c r="G4" s="23" t="str">
        <f>VLOOKUP(D4,物资目录!C:G,5,FALSE)</f>
        <v>工具类</v>
      </c>
      <c r="H4" s="40">
        <v>60</v>
      </c>
      <c r="I4" s="40"/>
      <c r="J4" s="40"/>
      <c r="K4" s="40"/>
      <c r="L4" s="40" t="s">
        <v>19</v>
      </c>
      <c r="M4" s="40"/>
      <c r="N4" s="40"/>
    </row>
    <row r="5" customHeight="1" spans="1:14">
      <c r="A5" s="39">
        <v>45962</v>
      </c>
      <c r="B5" s="40" t="s">
        <v>16</v>
      </c>
      <c r="C5" s="23" t="str">
        <f>VLOOKUP(D5,物资目录!C:G,2,FALSE)</f>
        <v>簸箕</v>
      </c>
      <c r="D5" s="23" t="s">
        <v>17</v>
      </c>
      <c r="E5" s="23" t="str">
        <f>VLOOKUP(D5,物资目录!C:G,3,FALSE)</f>
        <v>个</v>
      </c>
      <c r="F5" s="23" t="str">
        <f>VLOOKUP(D5,物资目录!C:G,4,FALSE)</f>
        <v>道路保洁</v>
      </c>
      <c r="G5" s="23" t="str">
        <f>VLOOKUP(D5,物资目录!C:G,5,FALSE)</f>
        <v>工具类</v>
      </c>
      <c r="H5" s="40">
        <v>1</v>
      </c>
      <c r="I5" s="40" t="s">
        <v>291</v>
      </c>
      <c r="J5" s="40"/>
      <c r="K5" s="40"/>
      <c r="L5" s="40"/>
      <c r="M5" s="40"/>
      <c r="N5" s="40"/>
    </row>
    <row r="6" customHeight="1" spans="1:14">
      <c r="A6" s="39">
        <v>45962</v>
      </c>
      <c r="B6" s="40" t="s">
        <v>16</v>
      </c>
      <c r="C6" s="23" t="s">
        <v>140</v>
      </c>
      <c r="D6" s="23" t="s">
        <v>133</v>
      </c>
      <c r="E6" s="23" t="str">
        <f>VLOOKUP(D6,物资目录!C:G,3,FALSE)</f>
        <v>套</v>
      </c>
      <c r="F6" s="23" t="str">
        <f>VLOOKUP(D6,物资目录!C:G,4,FALSE)</f>
        <v>工作服装</v>
      </c>
      <c r="G6" s="23" t="str">
        <f>VLOOKUP(D6,物资目录!C:G,5,FALSE)</f>
        <v>服装类</v>
      </c>
      <c r="H6" s="40">
        <v>1</v>
      </c>
      <c r="I6" s="40" t="s">
        <v>292</v>
      </c>
      <c r="J6" s="40"/>
      <c r="K6" s="40"/>
      <c r="L6" s="40"/>
      <c r="M6" s="40"/>
      <c r="N6" s="40"/>
    </row>
    <row r="7" customHeight="1" spans="1:14">
      <c r="A7" s="39">
        <v>45962</v>
      </c>
      <c r="B7" s="40" t="s">
        <v>16</v>
      </c>
      <c r="C7" s="23" t="str">
        <f>VLOOKUP(D7,物资目录!C:G,2,FALSE)</f>
        <v>手套</v>
      </c>
      <c r="D7" s="23" t="s">
        <v>32</v>
      </c>
      <c r="E7" s="23" t="str">
        <f>VLOOKUP(D7,物资目录!C:G,3,FALSE)</f>
        <v>双</v>
      </c>
      <c r="F7" s="23" t="str">
        <f>VLOOKUP(D7,物资目录!C:G,4,FALSE)</f>
        <v>道路保洁</v>
      </c>
      <c r="G7" s="23" t="str">
        <f>VLOOKUP(D7,物资目录!C:G,5,FALSE)</f>
        <v>工具类</v>
      </c>
      <c r="H7" s="40">
        <v>12</v>
      </c>
      <c r="I7" s="40" t="s">
        <v>293</v>
      </c>
      <c r="J7" s="40"/>
      <c r="K7" s="40"/>
      <c r="L7" s="40"/>
      <c r="M7" s="40"/>
      <c r="N7" s="40"/>
    </row>
    <row r="8" customHeight="1" spans="1:14">
      <c r="A8" s="39">
        <v>45962</v>
      </c>
      <c r="B8" s="40" t="s">
        <v>16</v>
      </c>
      <c r="C8" s="23" t="s">
        <v>129</v>
      </c>
      <c r="D8" s="23" t="s">
        <v>133</v>
      </c>
      <c r="E8" s="23" t="str">
        <f>VLOOKUP(D8,物资目录!C:G,3,FALSE)</f>
        <v>套</v>
      </c>
      <c r="F8" s="23" t="str">
        <f>VLOOKUP(D8,物资目录!C:G,4,FALSE)</f>
        <v>工作服装</v>
      </c>
      <c r="G8" s="23" t="str">
        <f>VLOOKUP(D8,物资目录!C:G,5,FALSE)</f>
        <v>服装类</v>
      </c>
      <c r="H8" s="40">
        <v>2</v>
      </c>
      <c r="I8" s="40" t="s">
        <v>294</v>
      </c>
      <c r="J8" s="40"/>
      <c r="K8" s="40"/>
      <c r="L8" s="40"/>
      <c r="M8" s="40"/>
      <c r="N8" s="40"/>
    </row>
    <row r="9" customHeight="1" spans="1:14">
      <c r="A9" s="39">
        <v>45962</v>
      </c>
      <c r="B9" s="40" t="s">
        <v>16</v>
      </c>
      <c r="C9" s="23" t="s">
        <v>140</v>
      </c>
      <c r="D9" s="23" t="s">
        <v>133</v>
      </c>
      <c r="E9" s="23" t="str">
        <f>VLOOKUP(D9,物资目录!C:G,3,FALSE)</f>
        <v>套</v>
      </c>
      <c r="F9" s="23" t="str">
        <f>VLOOKUP(D9,物资目录!C:G,4,FALSE)</f>
        <v>工作服装</v>
      </c>
      <c r="G9" s="23" t="str">
        <f>VLOOKUP(D9,物资目录!C:G,5,FALSE)</f>
        <v>服装类</v>
      </c>
      <c r="H9" s="40">
        <v>1</v>
      </c>
      <c r="I9" s="40" t="s">
        <v>294</v>
      </c>
      <c r="J9" s="40"/>
      <c r="K9" s="40"/>
      <c r="L9" s="40"/>
      <c r="M9" s="40"/>
      <c r="N9" s="40"/>
    </row>
    <row r="10" customHeight="1" spans="1:14">
      <c r="A10" s="39">
        <v>45962</v>
      </c>
      <c r="B10" s="40" t="s">
        <v>16</v>
      </c>
      <c r="C10" s="23" t="str">
        <f>VLOOKUP(D10,物资目录!C:G,2,FALSE)</f>
        <v>工作帽</v>
      </c>
      <c r="D10" s="23" t="s">
        <v>142</v>
      </c>
      <c r="E10" s="23" t="str">
        <f>VLOOKUP(D10,物资目录!C:G,3,FALSE)</f>
        <v>个</v>
      </c>
      <c r="F10" s="23" t="str">
        <f>VLOOKUP(D10,物资目录!C:G,4,FALSE)</f>
        <v>工作服装</v>
      </c>
      <c r="G10" s="23" t="str">
        <f>VLOOKUP(D10,物资目录!C:G,5,FALSE)</f>
        <v>服装类</v>
      </c>
      <c r="H10" s="40">
        <v>1</v>
      </c>
      <c r="I10" s="40" t="s">
        <v>294</v>
      </c>
      <c r="J10" s="40"/>
      <c r="K10" s="40"/>
      <c r="L10" s="40"/>
      <c r="M10" s="40"/>
      <c r="N10" s="40"/>
    </row>
    <row r="11" customHeight="1" spans="1:14">
      <c r="A11" s="39">
        <v>45962</v>
      </c>
      <c r="B11" s="40" t="s">
        <v>16</v>
      </c>
      <c r="C11" s="23" t="str">
        <f>VLOOKUP(D11,物资目录!C:G,2,FALSE)</f>
        <v>安全头盔</v>
      </c>
      <c r="D11" s="23" t="s">
        <v>202</v>
      </c>
      <c r="E11" s="23" t="str">
        <f>VLOOKUP(D11,物资目录!C:G,3,FALSE)</f>
        <v>个</v>
      </c>
      <c r="F11" s="23" t="str">
        <f>VLOOKUP(D11,物资目录!C:G,4,FALSE)</f>
        <v>工作服装</v>
      </c>
      <c r="G11" s="23" t="str">
        <f>VLOOKUP(D11,物资目录!C:G,5,FALSE)</f>
        <v>服装类</v>
      </c>
      <c r="H11" s="40">
        <v>1</v>
      </c>
      <c r="I11" s="40" t="s">
        <v>294</v>
      </c>
      <c r="J11" s="40"/>
      <c r="K11" s="40"/>
      <c r="L11" s="40"/>
      <c r="M11" s="40"/>
      <c r="N11" s="40"/>
    </row>
    <row r="12" customHeight="1" spans="1:14">
      <c r="A12" s="39">
        <v>45962</v>
      </c>
      <c r="B12" s="40" t="s">
        <v>16</v>
      </c>
      <c r="C12" s="23" t="str">
        <f>VLOOKUP(D12,物资目录!C:G,2,FALSE)</f>
        <v>毛巾</v>
      </c>
      <c r="D12" s="23" t="s">
        <v>103</v>
      </c>
      <c r="E12" s="23" t="str">
        <f>VLOOKUP(D12,物资目录!C:G,3,FALSE)</f>
        <v>条</v>
      </c>
      <c r="F12" s="23" t="str">
        <f>VLOOKUP(D12,物资目录!C:G,4,FALSE)</f>
        <v>通用物资</v>
      </c>
      <c r="G12" s="23" t="str">
        <f>VLOOKUP(D12,物资目录!C:G,5,FALSE)</f>
        <v>工具类</v>
      </c>
      <c r="H12" s="40">
        <v>6</v>
      </c>
      <c r="I12" s="40" t="s">
        <v>294</v>
      </c>
      <c r="J12" s="40"/>
      <c r="K12" s="40"/>
      <c r="L12" s="40"/>
      <c r="M12" s="40"/>
      <c r="N12" s="40"/>
    </row>
    <row r="13" customHeight="1" spans="1:14">
      <c r="A13" s="39">
        <v>45962</v>
      </c>
      <c r="B13" s="40" t="s">
        <v>16</v>
      </c>
      <c r="C13" s="23" t="str">
        <f>VLOOKUP(D13,物资目录!C:G,2,FALSE)</f>
        <v>卷纸</v>
      </c>
      <c r="D13" s="23" t="s">
        <v>80</v>
      </c>
      <c r="E13" s="23" t="str">
        <f>VLOOKUP(D13,物资目录!C:G,3,FALSE)</f>
        <v>卷</v>
      </c>
      <c r="F13" s="23" t="str">
        <f>VLOOKUP(D13,物资目录!C:G,4,FALSE)</f>
        <v>公厕保洁</v>
      </c>
      <c r="G13" s="23" t="str">
        <f>VLOOKUP(D13,物资目录!C:G,5,FALSE)</f>
        <v>耗材类</v>
      </c>
      <c r="H13" s="40">
        <v>12</v>
      </c>
      <c r="I13" s="40" t="s">
        <v>295</v>
      </c>
      <c r="J13" s="40"/>
      <c r="K13" s="40" t="s">
        <v>296</v>
      </c>
      <c r="L13" s="40"/>
      <c r="M13" s="40"/>
      <c r="N13" s="40"/>
    </row>
    <row r="14" customHeight="1" spans="1:14">
      <c r="A14" s="39">
        <v>45962</v>
      </c>
      <c r="B14" s="40" t="s">
        <v>16</v>
      </c>
      <c r="C14" s="23" t="str">
        <f>VLOOKUP(D14,物资目录!C:G,2,FALSE)</f>
        <v>手套</v>
      </c>
      <c r="D14" s="23" t="s">
        <v>32</v>
      </c>
      <c r="E14" s="23" t="str">
        <f>VLOOKUP(D14,物资目录!C:G,3,FALSE)</f>
        <v>双</v>
      </c>
      <c r="F14" s="23" t="str">
        <f>VLOOKUP(D14,物资目录!C:G,4,FALSE)</f>
        <v>道路保洁</v>
      </c>
      <c r="G14" s="23" t="str">
        <f>VLOOKUP(D14,物资目录!C:G,5,FALSE)</f>
        <v>工具类</v>
      </c>
      <c r="H14" s="40">
        <v>6</v>
      </c>
      <c r="I14" s="40" t="s">
        <v>294</v>
      </c>
      <c r="J14" s="40"/>
      <c r="K14" s="40"/>
      <c r="L14" s="40"/>
      <c r="M14" s="40"/>
      <c r="N14" s="40"/>
    </row>
    <row r="15" customHeight="1" spans="1:14">
      <c r="A15" s="39">
        <v>45962</v>
      </c>
      <c r="B15" s="40" t="s">
        <v>16</v>
      </c>
      <c r="C15" s="23" t="str">
        <f>VLOOKUP(D15,物资目录!C:G,2,FALSE)</f>
        <v>毛巾</v>
      </c>
      <c r="D15" s="23" t="s">
        <v>103</v>
      </c>
      <c r="E15" s="23" t="str">
        <f>VLOOKUP(D15,物资目录!C:G,3,FALSE)</f>
        <v>条</v>
      </c>
      <c r="F15" s="23" t="str">
        <f>VLOOKUP(D15,物资目录!C:G,4,FALSE)</f>
        <v>通用物资</v>
      </c>
      <c r="G15" s="23" t="str">
        <f>VLOOKUP(D15,物资目录!C:G,5,FALSE)</f>
        <v>工具类</v>
      </c>
      <c r="H15" s="40">
        <v>1</v>
      </c>
      <c r="I15" s="40" t="s">
        <v>297</v>
      </c>
      <c r="J15" s="40"/>
      <c r="K15" s="40"/>
      <c r="L15" s="40"/>
      <c r="M15" s="40"/>
      <c r="N15" s="40"/>
    </row>
    <row r="16" customHeight="1" spans="1:14">
      <c r="A16" s="39">
        <v>45962</v>
      </c>
      <c r="B16" s="40" t="s">
        <v>16</v>
      </c>
      <c r="C16" s="23" t="str">
        <f>VLOOKUP(D16,物资目录!C:G,2,FALSE)</f>
        <v>手套</v>
      </c>
      <c r="D16" s="23" t="s">
        <v>32</v>
      </c>
      <c r="E16" s="23" t="str">
        <f>VLOOKUP(D16,物资目录!C:G,3,FALSE)</f>
        <v>双</v>
      </c>
      <c r="F16" s="23" t="str">
        <f>VLOOKUP(D16,物资目录!C:G,4,FALSE)</f>
        <v>道路保洁</v>
      </c>
      <c r="G16" s="23" t="str">
        <f>VLOOKUP(D16,物资目录!C:G,5,FALSE)</f>
        <v>工具类</v>
      </c>
      <c r="H16" s="40">
        <v>12</v>
      </c>
      <c r="I16" s="40" t="s">
        <v>297</v>
      </c>
      <c r="J16" s="40"/>
      <c r="K16" s="40"/>
      <c r="L16" s="40"/>
      <c r="M16" s="40"/>
      <c r="N16" s="40"/>
    </row>
    <row r="17" customHeight="1" spans="1:14">
      <c r="A17" s="39">
        <v>45962</v>
      </c>
      <c r="B17" s="40" t="s">
        <v>16</v>
      </c>
      <c r="C17" s="23" t="str">
        <f>VLOOKUP(D17,物资目录!C:G,2,FALSE)</f>
        <v>卷纸</v>
      </c>
      <c r="D17" s="23" t="s">
        <v>80</v>
      </c>
      <c r="E17" s="23" t="str">
        <f>VLOOKUP(D17,物资目录!C:G,3,FALSE)</f>
        <v>卷</v>
      </c>
      <c r="F17" s="23" t="str">
        <f>VLOOKUP(D17,物资目录!C:G,4,FALSE)</f>
        <v>公厕保洁</v>
      </c>
      <c r="G17" s="23" t="str">
        <f>VLOOKUP(D17,物资目录!C:G,5,FALSE)</f>
        <v>耗材类</v>
      </c>
      <c r="H17" s="40">
        <v>1</v>
      </c>
      <c r="I17" s="40" t="s">
        <v>295</v>
      </c>
      <c r="J17" s="40"/>
      <c r="K17" s="40" t="s">
        <v>298</v>
      </c>
      <c r="L17" s="40"/>
      <c r="M17" s="40"/>
      <c r="N17" s="40"/>
    </row>
    <row r="18" customHeight="1" spans="1:14">
      <c r="A18" s="39">
        <v>45962</v>
      </c>
      <c r="B18" s="40" t="s">
        <v>16</v>
      </c>
      <c r="C18" s="23" t="str">
        <f>VLOOKUP(D18,物资目录!C:G,2,FALSE)</f>
        <v>垃圾袋</v>
      </c>
      <c r="D18" s="23" t="s">
        <v>68</v>
      </c>
      <c r="E18" s="23" t="str">
        <f>VLOOKUP(D18,物资目录!C:G,3,FALSE)</f>
        <v>卷</v>
      </c>
      <c r="F18" s="23" t="str">
        <f>VLOOKUP(D18,物资目录!C:G,4,FALSE)</f>
        <v>公厕保洁</v>
      </c>
      <c r="G18" s="23" t="str">
        <f>VLOOKUP(D18,物资目录!C:G,5,FALSE)</f>
        <v>耗材类</v>
      </c>
      <c r="H18" s="40">
        <v>3</v>
      </c>
      <c r="I18" s="40" t="s">
        <v>295</v>
      </c>
      <c r="J18" s="40"/>
      <c r="K18" s="40" t="s">
        <v>298</v>
      </c>
      <c r="L18" s="40"/>
      <c r="M18" s="40"/>
      <c r="N18" s="40"/>
    </row>
    <row r="19" customHeight="1" spans="1:14">
      <c r="A19" s="39">
        <v>45962</v>
      </c>
      <c r="B19" s="40" t="s">
        <v>16</v>
      </c>
      <c r="C19" s="23" t="str">
        <f>VLOOKUP(D19,物资目录!C:G,2,FALSE)</f>
        <v>檀香</v>
      </c>
      <c r="D19" s="23" t="s">
        <v>73</v>
      </c>
      <c r="E19" s="23" t="str">
        <f>VLOOKUP(D19,物资目录!C:G,3,FALSE)</f>
        <v>盒</v>
      </c>
      <c r="F19" s="23" t="str">
        <f>VLOOKUP(D19,物资目录!C:G,4,FALSE)</f>
        <v>公厕保洁</v>
      </c>
      <c r="G19" s="23" t="str">
        <f>VLOOKUP(D19,物资目录!C:G,5,FALSE)</f>
        <v>耗材类</v>
      </c>
      <c r="H19" s="40">
        <v>3</v>
      </c>
      <c r="I19" s="40" t="s">
        <v>295</v>
      </c>
      <c r="J19" s="40"/>
      <c r="K19" s="40" t="s">
        <v>298</v>
      </c>
      <c r="L19" s="40"/>
      <c r="M19" s="40"/>
      <c r="N19" s="40"/>
    </row>
    <row r="20" customHeight="1" spans="1:14">
      <c r="A20" s="39">
        <v>45962</v>
      </c>
      <c r="B20" s="40" t="s">
        <v>16</v>
      </c>
      <c r="C20" s="23" t="str">
        <f>VLOOKUP(D20,物资目录!C:G,2,FALSE)</f>
        <v>芳香球</v>
      </c>
      <c r="D20" s="23" t="s">
        <v>64</v>
      </c>
      <c r="E20" s="23" t="str">
        <f>VLOOKUP(D20,物资目录!C:G,3,FALSE)</f>
        <v>包</v>
      </c>
      <c r="F20" s="23" t="str">
        <f>VLOOKUP(D20,物资目录!C:G,4,FALSE)</f>
        <v>公厕保洁</v>
      </c>
      <c r="G20" s="23" t="str">
        <f>VLOOKUP(D20,物资目录!C:G,5,FALSE)</f>
        <v>耗材类</v>
      </c>
      <c r="H20" s="40">
        <v>1</v>
      </c>
      <c r="I20" s="40" t="s">
        <v>295</v>
      </c>
      <c r="J20" s="40"/>
      <c r="K20" s="40" t="s">
        <v>298</v>
      </c>
      <c r="L20" s="40"/>
      <c r="M20" s="40"/>
      <c r="N20" s="40"/>
    </row>
    <row r="21" customHeight="1" spans="1:14">
      <c r="A21" s="39">
        <v>45963</v>
      </c>
      <c r="B21" s="40" t="s">
        <v>16</v>
      </c>
      <c r="C21" s="23" t="str">
        <f>VLOOKUP(D21,物资目录!C:G,2,FALSE)</f>
        <v>卷纸</v>
      </c>
      <c r="D21" s="23" t="s">
        <v>80</v>
      </c>
      <c r="E21" s="23" t="str">
        <f>VLOOKUP(D21,物资目录!C:G,3,FALSE)</f>
        <v>卷</v>
      </c>
      <c r="F21" s="23" t="str">
        <f>VLOOKUP(D21,物资目录!C:G,4,FALSE)</f>
        <v>公厕保洁</v>
      </c>
      <c r="G21" s="23" t="str">
        <f>VLOOKUP(D21,物资目录!C:G,5,FALSE)</f>
        <v>耗材类</v>
      </c>
      <c r="H21" s="40">
        <v>12</v>
      </c>
      <c r="I21" s="40" t="s">
        <v>295</v>
      </c>
      <c r="J21" s="40"/>
      <c r="K21" s="40" t="s">
        <v>299</v>
      </c>
      <c r="L21" s="40"/>
      <c r="M21" s="40"/>
      <c r="N21" s="40"/>
    </row>
    <row r="22" customHeight="1" spans="1:14">
      <c r="A22" s="39">
        <v>45963</v>
      </c>
      <c r="B22" s="40" t="s">
        <v>16</v>
      </c>
      <c r="C22" s="23" t="str">
        <f>VLOOKUP(D22,物资目录!C:G,2,FALSE)</f>
        <v>洗手液</v>
      </c>
      <c r="D22" s="23" t="s">
        <v>76</v>
      </c>
      <c r="E22" s="23" t="str">
        <f>VLOOKUP(D22,物资目录!C:G,3,FALSE)</f>
        <v>瓶</v>
      </c>
      <c r="F22" s="23" t="str">
        <f>VLOOKUP(D22,物资目录!C:G,4,FALSE)</f>
        <v>公厕保洁</v>
      </c>
      <c r="G22" s="23" t="str">
        <f>VLOOKUP(D22,物资目录!C:G,5,FALSE)</f>
        <v>耗材类</v>
      </c>
      <c r="H22" s="40">
        <v>4</v>
      </c>
      <c r="I22" s="40" t="s">
        <v>295</v>
      </c>
      <c r="J22" s="40"/>
      <c r="K22" s="40" t="s">
        <v>299</v>
      </c>
      <c r="L22" s="40"/>
      <c r="M22" s="40"/>
      <c r="N22" s="40"/>
    </row>
    <row r="23" customHeight="1" spans="1:14">
      <c r="A23" s="39">
        <v>45963</v>
      </c>
      <c r="B23" s="40" t="s">
        <v>16</v>
      </c>
      <c r="C23" s="23" t="str">
        <f>VLOOKUP(D23,物资目录!C:G,2,FALSE)</f>
        <v>84消毒液</v>
      </c>
      <c r="D23" s="23" t="s">
        <v>62</v>
      </c>
      <c r="E23" s="23" t="str">
        <f>VLOOKUP(D23,物资目录!C:G,3,FALSE)</f>
        <v>瓶</v>
      </c>
      <c r="F23" s="23" t="str">
        <f>VLOOKUP(D23,物资目录!C:G,4,FALSE)</f>
        <v>公厕保洁</v>
      </c>
      <c r="G23" s="23" t="str">
        <f>VLOOKUP(D23,物资目录!C:G,5,FALSE)</f>
        <v>耗材类</v>
      </c>
      <c r="H23" s="40">
        <v>3</v>
      </c>
      <c r="I23" s="40" t="s">
        <v>295</v>
      </c>
      <c r="J23" s="40"/>
      <c r="K23" s="40" t="s">
        <v>299</v>
      </c>
      <c r="L23" s="40"/>
      <c r="M23" s="40"/>
      <c r="N23" s="40"/>
    </row>
    <row r="24" customHeight="1" spans="1:14">
      <c r="A24" s="39">
        <v>45963</v>
      </c>
      <c r="B24" s="40" t="s">
        <v>16</v>
      </c>
      <c r="C24" s="23" t="str">
        <f>VLOOKUP(D24,物资目录!C:G,2,FALSE)</f>
        <v>垃圾袋</v>
      </c>
      <c r="D24" s="23" t="s">
        <v>68</v>
      </c>
      <c r="E24" s="23" t="str">
        <f>VLOOKUP(D24,物资目录!C:G,3,FALSE)</f>
        <v>卷</v>
      </c>
      <c r="F24" s="23" t="str">
        <f>VLOOKUP(D24,物资目录!C:G,4,FALSE)</f>
        <v>公厕保洁</v>
      </c>
      <c r="G24" s="23" t="str">
        <f>VLOOKUP(D24,物资目录!C:G,5,FALSE)</f>
        <v>耗材类</v>
      </c>
      <c r="H24" s="40">
        <v>5</v>
      </c>
      <c r="I24" s="40" t="s">
        <v>295</v>
      </c>
      <c r="J24" s="40"/>
      <c r="K24" s="40" t="s">
        <v>299</v>
      </c>
      <c r="L24" s="40"/>
      <c r="M24" s="40"/>
      <c r="N24" s="40"/>
    </row>
    <row r="25" customHeight="1" spans="1:14">
      <c r="A25" s="39">
        <v>45963</v>
      </c>
      <c r="B25" s="40" t="s">
        <v>16</v>
      </c>
      <c r="C25" s="23" t="str">
        <f>VLOOKUP(D25,物资目录!C:G,2,FALSE)</f>
        <v>垃圾袋</v>
      </c>
      <c r="D25" s="23" t="s">
        <v>69</v>
      </c>
      <c r="E25" s="23" t="str">
        <f>VLOOKUP(D25,物资目录!C:G,3,FALSE)</f>
        <v>个</v>
      </c>
      <c r="F25" s="23" t="str">
        <f>VLOOKUP(D25,物资目录!C:G,4,FALSE)</f>
        <v>公厕保洁</v>
      </c>
      <c r="G25" s="23" t="str">
        <f>VLOOKUP(D25,物资目录!C:G,5,FALSE)</f>
        <v>耗材类</v>
      </c>
      <c r="H25" s="40">
        <v>3</v>
      </c>
      <c r="I25" s="40" t="s">
        <v>295</v>
      </c>
      <c r="J25" s="40"/>
      <c r="K25" s="40" t="s">
        <v>299</v>
      </c>
      <c r="L25" s="40"/>
      <c r="M25" s="40"/>
      <c r="N25" s="40"/>
    </row>
    <row r="26" customHeight="1" spans="1:14">
      <c r="A26" s="39">
        <v>45963</v>
      </c>
      <c r="B26" s="40" t="s">
        <v>16</v>
      </c>
      <c r="C26" s="23" t="str">
        <f>VLOOKUP(D26,物资目录!C:G,2,FALSE)</f>
        <v>垃圾袋</v>
      </c>
      <c r="D26" s="23" t="s">
        <v>42</v>
      </c>
      <c r="E26" s="23" t="str">
        <f>VLOOKUP(D26,物资目录!C:G,3,FALSE)</f>
        <v>卷</v>
      </c>
      <c r="F26" s="23" t="str">
        <f>VLOOKUP(D26,物资目录!C:G,4,FALSE)</f>
        <v>道路保洁</v>
      </c>
      <c r="G26" s="23" t="str">
        <f>VLOOKUP(D26,物资目录!C:G,5,FALSE)</f>
        <v>耗材类</v>
      </c>
      <c r="H26" s="40">
        <v>1</v>
      </c>
      <c r="I26" s="40" t="s">
        <v>295</v>
      </c>
      <c r="J26" s="40"/>
      <c r="K26" s="40" t="s">
        <v>299</v>
      </c>
      <c r="L26" s="40"/>
      <c r="M26" s="40"/>
      <c r="N26" s="40"/>
    </row>
    <row r="27" customHeight="1" spans="1:14">
      <c r="A27" s="39">
        <v>45963</v>
      </c>
      <c r="B27" s="40" t="s">
        <v>16</v>
      </c>
      <c r="C27" s="23" t="str">
        <f>VLOOKUP(D27,物资目录!C:G,2,FALSE)</f>
        <v>檀香</v>
      </c>
      <c r="D27" s="23" t="s">
        <v>73</v>
      </c>
      <c r="E27" s="23" t="str">
        <f>VLOOKUP(D27,物资目录!C:G,3,FALSE)</f>
        <v>盒</v>
      </c>
      <c r="F27" s="23" t="str">
        <f>VLOOKUP(D27,物资目录!C:G,4,FALSE)</f>
        <v>公厕保洁</v>
      </c>
      <c r="G27" s="23" t="str">
        <f>VLOOKUP(D27,物资目录!C:G,5,FALSE)</f>
        <v>耗材类</v>
      </c>
      <c r="H27" s="40">
        <v>5</v>
      </c>
      <c r="I27" s="40" t="s">
        <v>295</v>
      </c>
      <c r="J27" s="40"/>
      <c r="K27" s="40" t="s">
        <v>299</v>
      </c>
      <c r="L27" s="40"/>
      <c r="M27" s="40"/>
      <c r="N27" s="40"/>
    </row>
    <row r="28" customHeight="1" spans="1:14">
      <c r="A28" s="39">
        <v>45964</v>
      </c>
      <c r="B28" s="40" t="s">
        <v>16</v>
      </c>
      <c r="C28" s="23" t="str">
        <f>VLOOKUP(D28,物资目录!C:G,2,FALSE)</f>
        <v>洗洁精</v>
      </c>
      <c r="D28" s="23" t="s">
        <v>82</v>
      </c>
      <c r="E28" s="23" t="str">
        <f>VLOOKUP(D28,物资目录!C:G,3,FALSE)</f>
        <v>瓶</v>
      </c>
      <c r="F28" s="23" t="str">
        <f>VLOOKUP(D28,物资目录!C:G,4,FALSE)</f>
        <v>公厕保洁</v>
      </c>
      <c r="G28" s="23" t="str">
        <f>VLOOKUP(D28,物资目录!C:G,5,FALSE)</f>
        <v>耗材类</v>
      </c>
      <c r="H28" s="40">
        <v>2</v>
      </c>
      <c r="I28" s="40" t="s">
        <v>295</v>
      </c>
      <c r="J28" s="40"/>
      <c r="K28" s="40"/>
      <c r="L28" s="40"/>
      <c r="M28" s="40"/>
      <c r="N28" s="40"/>
    </row>
    <row r="29" customHeight="1" spans="1:14">
      <c r="A29" s="39">
        <v>45964</v>
      </c>
      <c r="B29" s="40" t="s">
        <v>16</v>
      </c>
      <c r="C29" s="23" t="str">
        <f>VLOOKUP(D29,物资目录!C:G,2,FALSE)</f>
        <v>垃圾袋</v>
      </c>
      <c r="D29" s="23" t="s">
        <v>68</v>
      </c>
      <c r="E29" s="23" t="str">
        <f>VLOOKUP(D29,物资目录!C:G,3,FALSE)</f>
        <v>卷</v>
      </c>
      <c r="F29" s="23" t="str">
        <f>VLOOKUP(D29,物资目录!C:G,4,FALSE)</f>
        <v>公厕保洁</v>
      </c>
      <c r="G29" s="23" t="str">
        <f>VLOOKUP(D29,物资目录!C:G,5,FALSE)</f>
        <v>耗材类</v>
      </c>
      <c r="H29" s="40">
        <v>10</v>
      </c>
      <c r="I29" s="40" t="s">
        <v>295</v>
      </c>
      <c r="J29" s="40"/>
      <c r="K29" s="40"/>
      <c r="L29" s="40"/>
      <c r="M29" s="40"/>
      <c r="N29" s="40"/>
    </row>
    <row r="30" customHeight="1" spans="1:14">
      <c r="A30" s="39">
        <v>45964</v>
      </c>
      <c r="B30" s="40" t="s">
        <v>16</v>
      </c>
      <c r="C30" s="23" t="str">
        <f>VLOOKUP(D30,物资目录!C:G,2,FALSE)</f>
        <v>84消毒液</v>
      </c>
      <c r="D30" s="23" t="s">
        <v>62</v>
      </c>
      <c r="E30" s="23" t="str">
        <f>VLOOKUP(D30,物资目录!C:G,3,FALSE)</f>
        <v>瓶</v>
      </c>
      <c r="F30" s="23" t="str">
        <f>VLOOKUP(D30,物资目录!C:G,4,FALSE)</f>
        <v>公厕保洁</v>
      </c>
      <c r="G30" s="23" t="str">
        <f>VLOOKUP(D30,物资目录!C:G,5,FALSE)</f>
        <v>耗材类</v>
      </c>
      <c r="H30" s="40">
        <v>3</v>
      </c>
      <c r="I30" s="40" t="s">
        <v>295</v>
      </c>
      <c r="J30" s="40"/>
      <c r="K30" s="40"/>
      <c r="L30" s="40"/>
      <c r="M30" s="40"/>
      <c r="N30" s="40"/>
    </row>
    <row r="31" customHeight="1" spans="1:14">
      <c r="A31" s="39">
        <v>45964</v>
      </c>
      <c r="B31" s="40" t="s">
        <v>16</v>
      </c>
      <c r="C31" s="23" t="str">
        <f>VLOOKUP(D31,物资目录!C:G,2,FALSE)</f>
        <v>洗手液</v>
      </c>
      <c r="D31" s="23" t="s">
        <v>76</v>
      </c>
      <c r="E31" s="23" t="str">
        <f>VLOOKUP(D31,物资目录!C:G,3,FALSE)</f>
        <v>瓶</v>
      </c>
      <c r="F31" s="23" t="str">
        <f>VLOOKUP(D31,物资目录!C:G,4,FALSE)</f>
        <v>公厕保洁</v>
      </c>
      <c r="G31" s="23" t="str">
        <f>VLOOKUP(D31,物资目录!C:G,5,FALSE)</f>
        <v>耗材类</v>
      </c>
      <c r="H31" s="40">
        <v>1</v>
      </c>
      <c r="I31" s="40" t="s">
        <v>295</v>
      </c>
      <c r="J31" s="40"/>
      <c r="K31" s="40"/>
      <c r="L31" s="40"/>
      <c r="M31" s="40"/>
      <c r="N31" s="40"/>
    </row>
    <row r="32" customHeight="1" spans="1:14">
      <c r="A32" s="39">
        <v>45964</v>
      </c>
      <c r="B32" s="40" t="s">
        <v>16</v>
      </c>
      <c r="C32" s="23" t="str">
        <f>VLOOKUP(D32,物资目录!C:G,2,FALSE)</f>
        <v>檀香</v>
      </c>
      <c r="D32" s="23" t="s">
        <v>73</v>
      </c>
      <c r="E32" s="23" t="str">
        <f>VLOOKUP(D32,物资目录!C:G,3,FALSE)</f>
        <v>盒</v>
      </c>
      <c r="F32" s="23" t="str">
        <f>VLOOKUP(D32,物资目录!C:G,4,FALSE)</f>
        <v>公厕保洁</v>
      </c>
      <c r="G32" s="23" t="str">
        <f>VLOOKUP(D32,物资目录!C:G,5,FALSE)</f>
        <v>耗材类</v>
      </c>
      <c r="H32" s="40">
        <v>6</v>
      </c>
      <c r="I32" s="40" t="s">
        <v>295</v>
      </c>
      <c r="J32" s="40"/>
      <c r="K32" s="40"/>
      <c r="L32" s="40"/>
      <c r="M32" s="40"/>
      <c r="N32" s="40"/>
    </row>
    <row r="33" customHeight="1" spans="1:14">
      <c r="A33" s="39">
        <v>45964</v>
      </c>
      <c r="B33" s="40" t="s">
        <v>16</v>
      </c>
      <c r="C33" s="23" t="str">
        <f>VLOOKUP(D33,物资目录!C:G,2,FALSE)</f>
        <v>垃圾袋</v>
      </c>
      <c r="D33" s="23" t="s">
        <v>69</v>
      </c>
      <c r="E33" s="23" t="str">
        <f>VLOOKUP(D33,物资目录!C:G,3,FALSE)</f>
        <v>个</v>
      </c>
      <c r="F33" s="23" t="str">
        <f>VLOOKUP(D33,物资目录!C:G,4,FALSE)</f>
        <v>公厕保洁</v>
      </c>
      <c r="G33" s="23" t="str">
        <f>VLOOKUP(D33,物资目录!C:G,5,FALSE)</f>
        <v>耗材类</v>
      </c>
      <c r="H33" s="40">
        <v>5</v>
      </c>
      <c r="I33" s="40" t="s">
        <v>295</v>
      </c>
      <c r="J33" s="40"/>
      <c r="K33" s="40"/>
      <c r="L33" s="40"/>
      <c r="M33" s="40"/>
      <c r="N33" s="40"/>
    </row>
    <row r="34" customHeight="1" spans="1:14">
      <c r="A34" s="39">
        <v>45964</v>
      </c>
      <c r="B34" s="40" t="s">
        <v>16</v>
      </c>
      <c r="C34" s="23" t="str">
        <f>VLOOKUP(D34,物资目录!C:G,2,FALSE)</f>
        <v>芳香球</v>
      </c>
      <c r="D34" s="23" t="s">
        <v>64</v>
      </c>
      <c r="E34" s="23" t="str">
        <f>VLOOKUP(D34,物资目录!C:G,3,FALSE)</f>
        <v>包</v>
      </c>
      <c r="F34" s="23" t="str">
        <f>VLOOKUP(D34,物资目录!C:G,4,FALSE)</f>
        <v>公厕保洁</v>
      </c>
      <c r="G34" s="23" t="str">
        <f>VLOOKUP(D34,物资目录!C:G,5,FALSE)</f>
        <v>耗材类</v>
      </c>
      <c r="H34" s="40">
        <v>2</v>
      </c>
      <c r="I34" s="40" t="s">
        <v>295</v>
      </c>
      <c r="J34" s="40"/>
      <c r="K34" s="40"/>
      <c r="L34" s="40"/>
      <c r="M34" s="40"/>
      <c r="N34" s="40"/>
    </row>
    <row r="35" customHeight="1" spans="1:14">
      <c r="A35" s="39">
        <v>45964</v>
      </c>
      <c r="B35" s="40" t="s">
        <v>16</v>
      </c>
      <c r="C35" s="23" t="str">
        <f>VLOOKUP(D35,物资目录!C:G,2,FALSE)</f>
        <v>洁厕液</v>
      </c>
      <c r="D35" s="23" t="s">
        <v>67</v>
      </c>
      <c r="E35" s="23" t="str">
        <f>VLOOKUP(D35,物资目录!C:G,3,FALSE)</f>
        <v>瓶</v>
      </c>
      <c r="F35" s="23" t="str">
        <f>VLOOKUP(D35,物资目录!C:G,4,FALSE)</f>
        <v>公厕保洁</v>
      </c>
      <c r="G35" s="23" t="str">
        <f>VLOOKUP(D35,物资目录!C:G,5,FALSE)</f>
        <v>耗材类</v>
      </c>
      <c r="H35" s="40">
        <v>2</v>
      </c>
      <c r="I35" s="40" t="s">
        <v>295</v>
      </c>
      <c r="J35" s="40"/>
      <c r="K35" s="40"/>
      <c r="L35" s="40"/>
      <c r="M35" s="40"/>
      <c r="N35" s="40"/>
    </row>
    <row r="36" customHeight="1" spans="1:14">
      <c r="A36" s="39">
        <v>45964</v>
      </c>
      <c r="B36" s="40" t="s">
        <v>16</v>
      </c>
      <c r="C36" s="23" t="str">
        <f>VLOOKUP(D36,物资目录!C:G,2,FALSE)</f>
        <v>毛巾</v>
      </c>
      <c r="D36" s="23" t="s">
        <v>103</v>
      </c>
      <c r="E36" s="23" t="str">
        <f>VLOOKUP(D36,物资目录!C:G,3,FALSE)</f>
        <v>条</v>
      </c>
      <c r="F36" s="23" t="str">
        <f>VLOOKUP(D36,物资目录!C:G,4,FALSE)</f>
        <v>通用物资</v>
      </c>
      <c r="G36" s="23" t="str">
        <f>VLOOKUP(D36,物资目录!C:G,5,FALSE)</f>
        <v>工具类</v>
      </c>
      <c r="H36" s="40">
        <v>2</v>
      </c>
      <c r="I36" s="40" t="s">
        <v>300</v>
      </c>
      <c r="J36" s="40"/>
      <c r="K36" s="40"/>
      <c r="L36" s="40"/>
      <c r="M36" s="40"/>
      <c r="N36" s="40"/>
    </row>
    <row r="37" customHeight="1" spans="1:14">
      <c r="A37" s="39">
        <v>45965</v>
      </c>
      <c r="B37" s="40" t="s">
        <v>16</v>
      </c>
      <c r="C37" s="23" t="str">
        <f>VLOOKUP(D37,物资目录!C:G,2,FALSE)</f>
        <v>垃圾夹</v>
      </c>
      <c r="D37" s="23" t="s">
        <v>28</v>
      </c>
      <c r="E37" s="23" t="str">
        <f>VLOOKUP(D37,物资目录!C:G,3,FALSE)</f>
        <v>把</v>
      </c>
      <c r="F37" s="23" t="str">
        <f>VLOOKUP(D37,物资目录!C:G,4,FALSE)</f>
        <v>道路保洁</v>
      </c>
      <c r="G37" s="23" t="str">
        <f>VLOOKUP(D37,物资目录!C:G,5,FALSE)</f>
        <v>工具类</v>
      </c>
      <c r="H37" s="40">
        <v>1</v>
      </c>
      <c r="I37" s="40" t="s">
        <v>300</v>
      </c>
      <c r="J37" s="40"/>
      <c r="K37" s="40"/>
      <c r="L37" s="40"/>
      <c r="M37" s="40"/>
      <c r="N37" s="40"/>
    </row>
    <row r="38" customHeight="1" spans="1:14">
      <c r="A38" s="39">
        <v>45966</v>
      </c>
      <c r="B38" s="40" t="s">
        <v>16</v>
      </c>
      <c r="C38" s="23" t="str">
        <f>VLOOKUP(D38,物资目录!C:G,2,FALSE)</f>
        <v>卷纸</v>
      </c>
      <c r="D38" s="23" t="s">
        <v>80</v>
      </c>
      <c r="E38" s="23" t="str">
        <f>VLOOKUP(D38,物资目录!C:G,3,FALSE)</f>
        <v>卷</v>
      </c>
      <c r="F38" s="23" t="str">
        <f>VLOOKUP(D38,物资目录!C:G,4,FALSE)</f>
        <v>公厕保洁</v>
      </c>
      <c r="G38" s="23" t="str">
        <f>VLOOKUP(D38,物资目录!C:G,5,FALSE)</f>
        <v>耗材类</v>
      </c>
      <c r="H38" s="40">
        <v>2</v>
      </c>
      <c r="I38" s="40"/>
      <c r="J38" s="40"/>
      <c r="K38" s="40" t="s">
        <v>301</v>
      </c>
      <c r="L38" s="40"/>
      <c r="M38" s="40"/>
      <c r="N38" s="40"/>
    </row>
    <row r="39" customHeight="1" spans="1:14">
      <c r="A39" s="39">
        <v>45966</v>
      </c>
      <c r="B39" s="40" t="s">
        <v>16</v>
      </c>
      <c r="C39" s="23" t="str">
        <f>VLOOKUP(D39,物资目录!C:G,2,FALSE)</f>
        <v>毛巾</v>
      </c>
      <c r="D39" s="23" t="s">
        <v>103</v>
      </c>
      <c r="E39" s="23" t="str">
        <f>VLOOKUP(D39,物资目录!C:G,3,FALSE)</f>
        <v>条</v>
      </c>
      <c r="F39" s="23" t="str">
        <f>VLOOKUP(D39,物资目录!C:G,4,FALSE)</f>
        <v>通用物资</v>
      </c>
      <c r="G39" s="23" t="str">
        <f>VLOOKUP(D39,物资目录!C:G,5,FALSE)</f>
        <v>工具类</v>
      </c>
      <c r="H39" s="40">
        <v>1</v>
      </c>
      <c r="I39" s="40" t="s">
        <v>302</v>
      </c>
      <c r="J39" s="40"/>
      <c r="K39" s="40"/>
      <c r="L39" s="40"/>
      <c r="M39" s="40"/>
      <c r="N39" s="40"/>
    </row>
    <row r="40" customHeight="1" spans="1:14">
      <c r="A40" s="39">
        <v>45966</v>
      </c>
      <c r="B40" s="40" t="s">
        <v>16</v>
      </c>
      <c r="C40" s="23" t="str">
        <f>VLOOKUP(D40,物资目录!C:G,2,FALSE)</f>
        <v>手套</v>
      </c>
      <c r="D40" s="23" t="s">
        <v>32</v>
      </c>
      <c r="E40" s="23" t="str">
        <f>VLOOKUP(D40,物资目录!C:G,3,FALSE)</f>
        <v>双</v>
      </c>
      <c r="F40" s="23" t="str">
        <f>VLOOKUP(D40,物资目录!C:G,4,FALSE)</f>
        <v>道路保洁</v>
      </c>
      <c r="G40" s="23" t="str">
        <f>VLOOKUP(D40,物资目录!C:G,5,FALSE)</f>
        <v>工具类</v>
      </c>
      <c r="H40" s="40">
        <v>12</v>
      </c>
      <c r="I40" s="40" t="s">
        <v>303</v>
      </c>
      <c r="J40" s="40"/>
      <c r="K40" s="40"/>
      <c r="L40" s="40"/>
      <c r="M40" s="40"/>
      <c r="N40" s="40"/>
    </row>
    <row r="41" customHeight="1" spans="1:14">
      <c r="A41" s="39">
        <v>45968</v>
      </c>
      <c r="B41" s="40" t="s">
        <v>16</v>
      </c>
      <c r="C41" s="23" t="str">
        <f>VLOOKUP(D41,物资目录!C:G,2,FALSE)</f>
        <v>卷纸</v>
      </c>
      <c r="D41" s="23" t="s">
        <v>80</v>
      </c>
      <c r="E41" s="23" t="str">
        <f>VLOOKUP(D41,物资目录!C:G,3,FALSE)</f>
        <v>卷</v>
      </c>
      <c r="F41" s="23" t="str">
        <f>VLOOKUP(D41,物资目录!C:G,4,FALSE)</f>
        <v>公厕保洁</v>
      </c>
      <c r="G41" s="23" t="str">
        <f>VLOOKUP(D41,物资目录!C:G,5,FALSE)</f>
        <v>耗材类</v>
      </c>
      <c r="H41" s="40">
        <v>1</v>
      </c>
      <c r="I41" s="40"/>
      <c r="J41" s="40"/>
      <c r="K41" s="40" t="s">
        <v>304</v>
      </c>
      <c r="L41" s="40"/>
      <c r="M41" s="40"/>
      <c r="N41" s="40"/>
    </row>
    <row r="42" customHeight="1" spans="1:14">
      <c r="A42" s="39">
        <v>45968</v>
      </c>
      <c r="B42" s="40" t="s">
        <v>16</v>
      </c>
      <c r="C42" s="23" t="str">
        <f>VLOOKUP(D42,物资目录!C:G,2,FALSE)</f>
        <v>檀香</v>
      </c>
      <c r="D42" s="23" t="s">
        <v>73</v>
      </c>
      <c r="E42" s="23" t="str">
        <f>VLOOKUP(D42,物资目录!C:G,3,FALSE)</f>
        <v>盒</v>
      </c>
      <c r="F42" s="23" t="str">
        <f>VLOOKUP(D42,物资目录!C:G,4,FALSE)</f>
        <v>公厕保洁</v>
      </c>
      <c r="G42" s="23" t="str">
        <f>VLOOKUP(D42,物资目录!C:G,5,FALSE)</f>
        <v>耗材类</v>
      </c>
      <c r="H42" s="40">
        <v>1</v>
      </c>
      <c r="I42" s="40"/>
      <c r="J42" s="40"/>
      <c r="K42" s="40" t="s">
        <v>301</v>
      </c>
      <c r="L42" s="40"/>
      <c r="M42" s="40"/>
      <c r="N42" s="40"/>
    </row>
    <row r="43" customHeight="1" spans="1:14">
      <c r="A43" s="39">
        <v>45968</v>
      </c>
      <c r="B43" s="40" t="s">
        <v>16</v>
      </c>
      <c r="C43" s="23" t="str">
        <f>VLOOKUP(D43,物资目录!C:G,2,FALSE)</f>
        <v>垃圾夹</v>
      </c>
      <c r="D43" s="23" t="s">
        <v>28</v>
      </c>
      <c r="E43" s="23" t="str">
        <f>VLOOKUP(D43,物资目录!C:G,3,FALSE)</f>
        <v>把</v>
      </c>
      <c r="F43" s="23" t="str">
        <f>VLOOKUP(D43,物资目录!C:G,4,FALSE)</f>
        <v>道路保洁</v>
      </c>
      <c r="G43" s="23" t="str">
        <f>VLOOKUP(D43,物资目录!C:G,5,FALSE)</f>
        <v>工具类</v>
      </c>
      <c r="H43" s="40">
        <v>1</v>
      </c>
      <c r="I43" s="40" t="s">
        <v>300</v>
      </c>
      <c r="J43" s="40"/>
      <c r="K43" s="40"/>
      <c r="L43" s="40"/>
      <c r="M43" s="40"/>
      <c r="N43" s="40"/>
    </row>
    <row r="44" customHeight="1" spans="1:14">
      <c r="A44" s="39">
        <v>45968</v>
      </c>
      <c r="B44" s="40" t="s">
        <v>16</v>
      </c>
      <c r="C44" s="23" t="str">
        <f>VLOOKUP(D44,物资目录!C:G,2,FALSE)</f>
        <v>除油片</v>
      </c>
      <c r="D44" s="25" t="s">
        <v>125</v>
      </c>
      <c r="E44" s="23" t="str">
        <f>VLOOKUP(D44,物资目录!C:G,3,FALSE)</f>
        <v>包</v>
      </c>
      <c r="F44" s="23" t="str">
        <f>VLOOKUP(D44,物资目录!C:G,4,FALSE)</f>
        <v>油污整治</v>
      </c>
      <c r="G44" s="23" t="str">
        <f>VLOOKUP(D44,物资目录!C:G,5,FALSE)</f>
        <v>耗材类</v>
      </c>
      <c r="H44" s="40">
        <v>1</v>
      </c>
      <c r="I44" s="40" t="s">
        <v>305</v>
      </c>
      <c r="J44" s="40"/>
      <c r="K44" s="40"/>
      <c r="L44" s="40"/>
      <c r="M44" s="40"/>
      <c r="N44" s="40"/>
    </row>
    <row r="45" customHeight="1" spans="1:14">
      <c r="A45" s="39">
        <v>45969</v>
      </c>
      <c r="B45" s="40" t="s">
        <v>16</v>
      </c>
      <c r="C45" s="23" t="s">
        <v>129</v>
      </c>
      <c r="D45" s="23" t="s">
        <v>133</v>
      </c>
      <c r="E45" s="23" t="str">
        <f>VLOOKUP(D45,物资目录!C:G,3,FALSE)</f>
        <v>套</v>
      </c>
      <c r="F45" s="23" t="str">
        <f>VLOOKUP(D45,物资目录!C:G,4,FALSE)</f>
        <v>工作服装</v>
      </c>
      <c r="G45" s="23" t="str">
        <f>VLOOKUP(D45,物资目录!C:G,5,FALSE)</f>
        <v>服装类</v>
      </c>
      <c r="H45" s="40">
        <v>2</v>
      </c>
      <c r="I45" s="40" t="s">
        <v>294</v>
      </c>
      <c r="J45" s="40"/>
      <c r="K45" s="40"/>
      <c r="L45" s="40"/>
      <c r="M45" s="40"/>
      <c r="N45" s="40"/>
    </row>
    <row r="46" customHeight="1" spans="1:14">
      <c r="A46" s="39">
        <v>45969</v>
      </c>
      <c r="B46" s="40" t="s">
        <v>16</v>
      </c>
      <c r="C46" s="23" t="s">
        <v>140</v>
      </c>
      <c r="D46" s="23" t="s">
        <v>133</v>
      </c>
      <c r="E46" s="23" t="str">
        <f>VLOOKUP(D46,物资目录!C:G,3,FALSE)</f>
        <v>套</v>
      </c>
      <c r="F46" s="23" t="str">
        <f>VLOOKUP(D46,物资目录!C:G,4,FALSE)</f>
        <v>工作服装</v>
      </c>
      <c r="G46" s="23" t="str">
        <f>VLOOKUP(D46,物资目录!C:G,5,FALSE)</f>
        <v>服装类</v>
      </c>
      <c r="H46" s="40">
        <v>1</v>
      </c>
      <c r="I46" s="40" t="s">
        <v>294</v>
      </c>
      <c r="J46" s="40"/>
      <c r="K46" s="40"/>
      <c r="L46" s="40"/>
      <c r="M46" s="40"/>
      <c r="N46" s="40"/>
    </row>
    <row r="47" customHeight="1" spans="1:14">
      <c r="A47" s="39">
        <v>45969</v>
      </c>
      <c r="B47" s="40" t="s">
        <v>16</v>
      </c>
      <c r="C47" s="23" t="str">
        <f>VLOOKUP(D47,物资目录!C:G,2,FALSE)</f>
        <v>垃圾夹</v>
      </c>
      <c r="D47" s="23" t="s">
        <v>28</v>
      </c>
      <c r="E47" s="23" t="str">
        <f>VLOOKUP(D47,物资目录!C:G,3,FALSE)</f>
        <v>把</v>
      </c>
      <c r="F47" s="23" t="str">
        <f>VLOOKUP(D47,物资目录!C:G,4,FALSE)</f>
        <v>道路保洁</v>
      </c>
      <c r="G47" s="23" t="str">
        <f>VLOOKUP(D47,物资目录!C:G,5,FALSE)</f>
        <v>工具类</v>
      </c>
      <c r="H47" s="40">
        <v>1</v>
      </c>
      <c r="I47" s="40" t="s">
        <v>294</v>
      </c>
      <c r="J47" s="40"/>
      <c r="K47" s="40"/>
      <c r="L47" s="40"/>
      <c r="M47" s="40"/>
      <c r="N47" s="40"/>
    </row>
    <row r="48" customHeight="1" spans="1:14">
      <c r="A48" s="39">
        <v>45969</v>
      </c>
      <c r="B48" s="40" t="s">
        <v>16</v>
      </c>
      <c r="C48" s="23" t="str">
        <f>VLOOKUP(D48,物资目录!C:G,2,FALSE)</f>
        <v>安全头盔</v>
      </c>
      <c r="D48" s="23" t="s">
        <v>202</v>
      </c>
      <c r="E48" s="23" t="str">
        <f>VLOOKUP(D48,物资目录!C:G,3,FALSE)</f>
        <v>个</v>
      </c>
      <c r="F48" s="23" t="str">
        <f>VLOOKUP(D48,物资目录!C:G,4,FALSE)</f>
        <v>工作服装</v>
      </c>
      <c r="G48" s="23" t="str">
        <f>VLOOKUP(D48,物资目录!C:G,5,FALSE)</f>
        <v>服装类</v>
      </c>
      <c r="H48" s="40">
        <v>1</v>
      </c>
      <c r="I48" s="40" t="s">
        <v>294</v>
      </c>
      <c r="J48" s="40"/>
      <c r="K48" s="40"/>
      <c r="L48" s="40"/>
      <c r="M48" s="40"/>
      <c r="N48" s="40"/>
    </row>
    <row r="49" customHeight="1" spans="1:14">
      <c r="A49" s="39">
        <v>45969</v>
      </c>
      <c r="B49" s="40" t="s">
        <v>16</v>
      </c>
      <c r="C49" s="23" t="str">
        <f>VLOOKUP(D49,物资目录!C:G,2,FALSE)</f>
        <v>毛巾</v>
      </c>
      <c r="D49" s="23" t="s">
        <v>103</v>
      </c>
      <c r="E49" s="23" t="str">
        <f>VLOOKUP(D49,物资目录!C:G,3,FALSE)</f>
        <v>条</v>
      </c>
      <c r="F49" s="23" t="str">
        <f>VLOOKUP(D49,物资目录!C:G,4,FALSE)</f>
        <v>通用物资</v>
      </c>
      <c r="G49" s="23" t="str">
        <f>VLOOKUP(D49,物资目录!C:G,5,FALSE)</f>
        <v>工具类</v>
      </c>
      <c r="H49" s="40">
        <v>1</v>
      </c>
      <c r="I49" s="40" t="s">
        <v>294</v>
      </c>
      <c r="J49" s="40"/>
      <c r="K49" s="40"/>
      <c r="L49" s="40"/>
      <c r="M49" s="40"/>
      <c r="N49" s="40"/>
    </row>
    <row r="50" customHeight="1" spans="1:14">
      <c r="A50" s="39">
        <v>45969</v>
      </c>
      <c r="B50" s="40" t="s">
        <v>16</v>
      </c>
      <c r="C50" s="23" t="str">
        <f>VLOOKUP(D50,物资目录!C:G,2,FALSE)</f>
        <v>工作帽</v>
      </c>
      <c r="D50" s="23" t="s">
        <v>142</v>
      </c>
      <c r="E50" s="23" t="str">
        <f>VLOOKUP(D50,物资目录!C:G,3,FALSE)</f>
        <v>个</v>
      </c>
      <c r="F50" s="23" t="str">
        <f>VLOOKUP(D50,物资目录!C:G,4,FALSE)</f>
        <v>工作服装</v>
      </c>
      <c r="G50" s="23" t="str">
        <f>VLOOKUP(D50,物资目录!C:G,5,FALSE)</f>
        <v>服装类</v>
      </c>
      <c r="H50" s="40">
        <v>1</v>
      </c>
      <c r="I50" s="40" t="s">
        <v>294</v>
      </c>
      <c r="J50" s="40"/>
      <c r="K50" s="40"/>
      <c r="L50" s="40"/>
      <c r="M50" s="40"/>
      <c r="N50" s="40"/>
    </row>
    <row r="51" customHeight="1" spans="1:14">
      <c r="A51" s="39">
        <v>45970</v>
      </c>
      <c r="B51" s="40" t="s">
        <v>16</v>
      </c>
      <c r="C51" s="23" t="str">
        <f>VLOOKUP(D51,物资目录!C:G,2,FALSE)</f>
        <v>道路保洁扫把</v>
      </c>
      <c r="D51" s="23" t="s">
        <v>21</v>
      </c>
      <c r="E51" s="23" t="str">
        <f>VLOOKUP(D51,物资目录!C:G,3,FALSE)</f>
        <v>把</v>
      </c>
      <c r="F51" s="23" t="str">
        <f>VLOOKUP(D51,物资目录!C:G,4,FALSE)</f>
        <v>道路保洁</v>
      </c>
      <c r="G51" s="23" t="str">
        <f>VLOOKUP(D51,物资目录!C:G,5,FALSE)</f>
        <v>工具类</v>
      </c>
      <c r="H51" s="40">
        <v>30</v>
      </c>
      <c r="I51" s="40" t="s">
        <v>306</v>
      </c>
      <c r="J51" s="40"/>
      <c r="K51" s="40"/>
      <c r="L51" s="40"/>
      <c r="M51" s="40"/>
      <c r="N51" s="40"/>
    </row>
    <row r="52" customHeight="1" spans="1:14">
      <c r="A52" s="39">
        <v>45970</v>
      </c>
      <c r="B52" s="40" t="s">
        <v>16</v>
      </c>
      <c r="C52" s="23" t="str">
        <f>VLOOKUP(D52,物资目录!C:G,2,FALSE)</f>
        <v>洗洁精</v>
      </c>
      <c r="D52" s="23" t="s">
        <v>82</v>
      </c>
      <c r="E52" s="23" t="str">
        <f>VLOOKUP(D52,物资目录!C:G,3,FALSE)</f>
        <v>瓶</v>
      </c>
      <c r="F52" s="23" t="str">
        <f>VLOOKUP(D52,物资目录!C:G,4,FALSE)</f>
        <v>公厕保洁</v>
      </c>
      <c r="G52" s="23" t="str">
        <f>VLOOKUP(D52,物资目录!C:G,5,FALSE)</f>
        <v>耗材类</v>
      </c>
      <c r="H52" s="40">
        <v>1</v>
      </c>
      <c r="I52" s="40" t="s">
        <v>295</v>
      </c>
      <c r="J52" s="40"/>
      <c r="K52" s="40" t="s">
        <v>299</v>
      </c>
      <c r="L52" s="40"/>
      <c r="M52" s="40"/>
      <c r="N52" s="40"/>
    </row>
    <row r="53" customHeight="1" spans="1:14">
      <c r="A53" s="39">
        <v>45970</v>
      </c>
      <c r="B53" s="40" t="s">
        <v>16</v>
      </c>
      <c r="C53" s="23" t="str">
        <f>VLOOKUP(D53,物资目录!C:G,2,FALSE)</f>
        <v>洁厕液</v>
      </c>
      <c r="D53" s="23" t="s">
        <v>67</v>
      </c>
      <c r="E53" s="23" t="str">
        <f>VLOOKUP(D53,物资目录!C:G,3,FALSE)</f>
        <v>瓶</v>
      </c>
      <c r="F53" s="23" t="str">
        <f>VLOOKUP(D53,物资目录!C:G,4,FALSE)</f>
        <v>公厕保洁</v>
      </c>
      <c r="G53" s="23" t="str">
        <f>VLOOKUP(D53,物资目录!C:G,5,FALSE)</f>
        <v>耗材类</v>
      </c>
      <c r="H53" s="40">
        <v>2</v>
      </c>
      <c r="I53" s="40" t="s">
        <v>295</v>
      </c>
      <c r="J53" s="40"/>
      <c r="K53" s="40" t="s">
        <v>299</v>
      </c>
      <c r="L53" s="40"/>
      <c r="M53" s="40"/>
      <c r="N53" s="40"/>
    </row>
    <row r="54" customHeight="1" spans="1:14">
      <c r="A54" s="39">
        <v>45970</v>
      </c>
      <c r="B54" s="40" t="s">
        <v>16</v>
      </c>
      <c r="C54" s="23" t="str">
        <f>VLOOKUP(D54,物资目录!C:G,2,FALSE)</f>
        <v>芳香球</v>
      </c>
      <c r="D54" s="23" t="s">
        <v>64</v>
      </c>
      <c r="E54" s="23" t="str">
        <f>VLOOKUP(D54,物资目录!C:G,3,FALSE)</f>
        <v>包</v>
      </c>
      <c r="F54" s="23" t="str">
        <f>VLOOKUP(D54,物资目录!C:G,4,FALSE)</f>
        <v>公厕保洁</v>
      </c>
      <c r="G54" s="23" t="str">
        <f>VLOOKUP(D54,物资目录!C:G,5,FALSE)</f>
        <v>耗材类</v>
      </c>
      <c r="H54" s="40">
        <v>1</v>
      </c>
      <c r="I54" s="40" t="s">
        <v>295</v>
      </c>
      <c r="J54" s="40"/>
      <c r="K54" s="40" t="s">
        <v>299</v>
      </c>
      <c r="L54" s="40"/>
      <c r="M54" s="40"/>
      <c r="N54" s="40"/>
    </row>
    <row r="55" customHeight="1" spans="1:14">
      <c r="A55" s="39">
        <v>45970</v>
      </c>
      <c r="B55" s="40" t="s">
        <v>16</v>
      </c>
      <c r="C55" s="23" t="str">
        <f>VLOOKUP(D55,物资目录!C:G,2,FALSE)</f>
        <v>道路保洁扫把</v>
      </c>
      <c r="D55" s="23" t="s">
        <v>21</v>
      </c>
      <c r="E55" s="23" t="str">
        <f>VLOOKUP(D55,物资目录!C:G,3,FALSE)</f>
        <v>把</v>
      </c>
      <c r="F55" s="23" t="str">
        <f>VLOOKUP(D55,物资目录!C:G,4,FALSE)</f>
        <v>道路保洁</v>
      </c>
      <c r="G55" s="23" t="str">
        <f>VLOOKUP(D55,物资目录!C:G,5,FALSE)</f>
        <v>工具类</v>
      </c>
      <c r="H55" s="40">
        <v>1</v>
      </c>
      <c r="I55" s="40" t="s">
        <v>297</v>
      </c>
      <c r="J55" s="40"/>
      <c r="K55" s="40"/>
      <c r="L55" s="40"/>
      <c r="M55" s="40"/>
      <c r="N55" s="40"/>
    </row>
    <row r="56" customHeight="1" spans="1:14">
      <c r="A56" s="39">
        <v>45970</v>
      </c>
      <c r="B56" s="40" t="s">
        <v>16</v>
      </c>
      <c r="C56" s="23" t="str">
        <f>VLOOKUP(D56,物资目录!C:G,2,FALSE)</f>
        <v>芳香球</v>
      </c>
      <c r="D56" s="23" t="s">
        <v>64</v>
      </c>
      <c r="E56" s="23" t="str">
        <f>VLOOKUP(D56,物资目录!C:G,3,FALSE)</f>
        <v>包</v>
      </c>
      <c r="F56" s="23" t="str">
        <f>VLOOKUP(D56,物资目录!C:G,4,FALSE)</f>
        <v>公厕保洁</v>
      </c>
      <c r="G56" s="23" t="str">
        <f>VLOOKUP(D56,物资目录!C:G,5,FALSE)</f>
        <v>耗材类</v>
      </c>
      <c r="H56" s="40">
        <v>2</v>
      </c>
      <c r="I56" s="40" t="s">
        <v>295</v>
      </c>
      <c r="J56" s="40"/>
      <c r="K56" s="40" t="s">
        <v>296</v>
      </c>
      <c r="L56" s="40"/>
      <c r="M56" s="40"/>
      <c r="N56" s="40"/>
    </row>
    <row r="57" customHeight="1" spans="1:14">
      <c r="A57" s="39">
        <v>45971</v>
      </c>
      <c r="B57" s="40" t="s">
        <v>16</v>
      </c>
      <c r="C57" s="23" t="str">
        <f>VLOOKUP(D57,物资目录!C:G,2,FALSE)</f>
        <v>垃圾夹</v>
      </c>
      <c r="D57" s="23" t="s">
        <v>28</v>
      </c>
      <c r="E57" s="23" t="str">
        <f>VLOOKUP(D57,物资目录!C:G,3,FALSE)</f>
        <v>把</v>
      </c>
      <c r="F57" s="23" t="str">
        <f>VLOOKUP(D57,物资目录!C:G,4,FALSE)</f>
        <v>道路保洁</v>
      </c>
      <c r="G57" s="23" t="str">
        <f>VLOOKUP(D57,物资目录!C:G,5,FALSE)</f>
        <v>工具类</v>
      </c>
      <c r="H57" s="40">
        <v>1</v>
      </c>
      <c r="I57" s="40" t="s">
        <v>300</v>
      </c>
      <c r="J57" s="40"/>
      <c r="K57" s="40"/>
      <c r="L57" s="40"/>
      <c r="M57" s="40"/>
      <c r="N57" s="40"/>
    </row>
    <row r="58" customHeight="1" spans="1:14">
      <c r="A58" s="39">
        <v>45971</v>
      </c>
      <c r="B58" s="40" t="s">
        <v>16</v>
      </c>
      <c r="C58" s="23" t="str">
        <f>VLOOKUP(D58,物资目录!C:G,2,FALSE)</f>
        <v>垃圾夹</v>
      </c>
      <c r="D58" s="23" t="s">
        <v>28</v>
      </c>
      <c r="E58" s="23" t="str">
        <f>VLOOKUP(D58,物资目录!C:G,3,FALSE)</f>
        <v>把</v>
      </c>
      <c r="F58" s="23" t="str">
        <f>VLOOKUP(D58,物资目录!C:G,4,FALSE)</f>
        <v>道路保洁</v>
      </c>
      <c r="G58" s="23" t="str">
        <f>VLOOKUP(D58,物资目录!C:G,5,FALSE)</f>
        <v>工具类</v>
      </c>
      <c r="H58" s="40">
        <v>1</v>
      </c>
      <c r="I58" s="40" t="s">
        <v>295</v>
      </c>
      <c r="J58" s="40"/>
      <c r="K58" s="40"/>
      <c r="L58" s="40"/>
      <c r="M58" s="40"/>
      <c r="N58" s="40"/>
    </row>
    <row r="59" customHeight="1" spans="1:14">
      <c r="A59" s="39">
        <v>45971</v>
      </c>
      <c r="B59" s="40" t="s">
        <v>16</v>
      </c>
      <c r="C59" s="23" t="str">
        <f>VLOOKUP(D59,物资目录!C:G,2,FALSE)</f>
        <v>蛇皮袋</v>
      </c>
      <c r="D59" s="23" t="s">
        <v>48</v>
      </c>
      <c r="E59" s="23" t="str">
        <f>VLOOKUP(D59,物资目录!C:G,3,FALSE)</f>
        <v>个</v>
      </c>
      <c r="F59" s="23" t="str">
        <f>VLOOKUP(D59,物资目录!C:G,4,FALSE)</f>
        <v>道路保洁</v>
      </c>
      <c r="G59" s="23" t="str">
        <f>VLOOKUP(D59,物资目录!C:G,5,FALSE)</f>
        <v>耗材类</v>
      </c>
      <c r="H59" s="40">
        <v>2</v>
      </c>
      <c r="I59" s="40" t="s">
        <v>294</v>
      </c>
      <c r="J59" s="40"/>
      <c r="K59" s="40"/>
      <c r="L59" s="40"/>
      <c r="M59" s="40"/>
      <c r="N59" s="40"/>
    </row>
    <row r="60" customHeight="1" spans="1:14">
      <c r="A60" s="39">
        <v>45971</v>
      </c>
      <c r="B60" s="40" t="s">
        <v>16</v>
      </c>
      <c r="C60" s="23" t="str">
        <f>VLOOKUP(D60,物资目录!C:G,2,FALSE)</f>
        <v>铁锹</v>
      </c>
      <c r="D60" s="23" t="s">
        <v>37</v>
      </c>
      <c r="E60" s="23" t="str">
        <f>VLOOKUP(D60,物资目录!C:G,3,FALSE)</f>
        <v>把</v>
      </c>
      <c r="F60" s="23" t="str">
        <f>VLOOKUP(D60,物资目录!C:G,4,FALSE)</f>
        <v>道路保洁</v>
      </c>
      <c r="G60" s="23" t="str">
        <f>VLOOKUP(D60,物资目录!C:G,5,FALSE)</f>
        <v>工具类</v>
      </c>
      <c r="H60" s="40">
        <v>1</v>
      </c>
      <c r="I60" s="40" t="s">
        <v>297</v>
      </c>
      <c r="J60" s="40"/>
      <c r="K60" s="40"/>
      <c r="L60" s="40"/>
      <c r="M60" s="40"/>
      <c r="N60" s="40"/>
    </row>
    <row r="61" customHeight="1" spans="1:14">
      <c r="A61" s="39">
        <v>45972</v>
      </c>
      <c r="B61" s="40" t="s">
        <v>16</v>
      </c>
      <c r="C61" s="23" t="str">
        <f>VLOOKUP(D61,物资目录!C:G,2,FALSE)</f>
        <v>垃圾夹</v>
      </c>
      <c r="D61" s="23" t="s">
        <v>28</v>
      </c>
      <c r="E61" s="23" t="str">
        <f>VLOOKUP(D61,物资目录!C:G,3,FALSE)</f>
        <v>把</v>
      </c>
      <c r="F61" s="23" t="str">
        <f>VLOOKUP(D61,物资目录!C:G,4,FALSE)</f>
        <v>道路保洁</v>
      </c>
      <c r="G61" s="23" t="str">
        <f>VLOOKUP(D61,物资目录!C:G,5,FALSE)</f>
        <v>工具类</v>
      </c>
      <c r="H61" s="40">
        <v>1</v>
      </c>
      <c r="I61" s="40" t="s">
        <v>307</v>
      </c>
      <c r="J61" s="40"/>
      <c r="K61" s="40"/>
      <c r="L61" s="40"/>
      <c r="M61" s="40"/>
      <c r="N61" s="40"/>
    </row>
    <row r="62" customHeight="1" spans="1:14">
      <c r="A62" s="39">
        <v>45972</v>
      </c>
      <c r="B62" s="40" t="s">
        <v>16</v>
      </c>
      <c r="C62" s="23" t="str">
        <f>VLOOKUP(D62,物资目录!C:G,2,FALSE)</f>
        <v>檀香</v>
      </c>
      <c r="D62" s="23" t="s">
        <v>73</v>
      </c>
      <c r="E62" s="23" t="str">
        <f>VLOOKUP(D62,物资目录!C:G,3,FALSE)</f>
        <v>盒</v>
      </c>
      <c r="F62" s="23" t="str">
        <f>VLOOKUP(D62,物资目录!C:G,4,FALSE)</f>
        <v>公厕保洁</v>
      </c>
      <c r="G62" s="23" t="str">
        <f>VLOOKUP(D62,物资目录!C:G,5,FALSE)</f>
        <v>耗材类</v>
      </c>
      <c r="H62" s="40">
        <v>6</v>
      </c>
      <c r="I62" s="40" t="s">
        <v>295</v>
      </c>
      <c r="J62" s="40"/>
      <c r="K62" s="40" t="s">
        <v>308</v>
      </c>
      <c r="L62" s="40"/>
      <c r="M62" s="40"/>
      <c r="N62" s="40"/>
    </row>
    <row r="63" customHeight="1" spans="1:14">
      <c r="A63" s="39">
        <v>45972</v>
      </c>
      <c r="B63" s="40" t="s">
        <v>16</v>
      </c>
      <c r="C63" s="23" t="str">
        <f>VLOOKUP(D63,物资目录!C:G,2,FALSE)</f>
        <v>垃圾袋</v>
      </c>
      <c r="D63" s="23" t="s">
        <v>69</v>
      </c>
      <c r="E63" s="23" t="str">
        <f>VLOOKUP(D63,物资目录!C:G,3,FALSE)</f>
        <v>个</v>
      </c>
      <c r="F63" s="23" t="str">
        <f>VLOOKUP(D63,物资目录!C:G,4,FALSE)</f>
        <v>公厕保洁</v>
      </c>
      <c r="G63" s="23" t="str">
        <f>VLOOKUP(D63,物资目录!C:G,5,FALSE)</f>
        <v>耗材类</v>
      </c>
      <c r="H63" s="40">
        <v>6</v>
      </c>
      <c r="I63" s="40" t="s">
        <v>295</v>
      </c>
      <c r="J63" s="40"/>
      <c r="K63" s="40" t="s">
        <v>308</v>
      </c>
      <c r="L63" s="40"/>
      <c r="M63" s="40"/>
      <c r="N63" s="40"/>
    </row>
    <row r="64" customHeight="1" spans="1:14">
      <c r="A64" s="39">
        <v>45972</v>
      </c>
      <c r="B64" s="40" t="s">
        <v>16</v>
      </c>
      <c r="C64" s="23" t="str">
        <f>VLOOKUP(D64,物资目录!C:G,2,FALSE)</f>
        <v>垃圾袋</v>
      </c>
      <c r="D64" s="23" t="s">
        <v>68</v>
      </c>
      <c r="E64" s="23" t="str">
        <f>VLOOKUP(D64,物资目录!C:G,3,FALSE)</f>
        <v>卷</v>
      </c>
      <c r="F64" s="23" t="str">
        <f>VLOOKUP(D64,物资目录!C:G,4,FALSE)</f>
        <v>公厕保洁</v>
      </c>
      <c r="G64" s="23" t="str">
        <f>VLOOKUP(D64,物资目录!C:G,5,FALSE)</f>
        <v>耗材类</v>
      </c>
      <c r="H64" s="40">
        <v>5</v>
      </c>
      <c r="I64" s="40" t="s">
        <v>295</v>
      </c>
      <c r="J64" s="40"/>
      <c r="K64" s="40" t="s">
        <v>308</v>
      </c>
      <c r="L64" s="40"/>
      <c r="M64" s="40"/>
      <c r="N64" s="40"/>
    </row>
    <row r="65" customHeight="1" spans="1:14">
      <c r="A65" s="39">
        <v>45972</v>
      </c>
      <c r="B65" s="40" t="s">
        <v>16</v>
      </c>
      <c r="C65" s="23" t="str">
        <f>VLOOKUP(D65,物资目录!C:G,2,FALSE)</f>
        <v>芳香球</v>
      </c>
      <c r="D65" s="23" t="s">
        <v>64</v>
      </c>
      <c r="E65" s="23" t="str">
        <f>VLOOKUP(D65,物资目录!C:G,3,FALSE)</f>
        <v>包</v>
      </c>
      <c r="F65" s="23" t="str">
        <f>VLOOKUP(D65,物资目录!C:G,4,FALSE)</f>
        <v>公厕保洁</v>
      </c>
      <c r="G65" s="23" t="str">
        <f>VLOOKUP(D65,物资目录!C:G,5,FALSE)</f>
        <v>耗材类</v>
      </c>
      <c r="H65" s="40">
        <v>2</v>
      </c>
      <c r="I65" s="40" t="s">
        <v>295</v>
      </c>
      <c r="J65" s="40"/>
      <c r="K65" s="40" t="s">
        <v>308</v>
      </c>
      <c r="L65" s="40"/>
      <c r="M65" s="40"/>
      <c r="N65" s="40"/>
    </row>
    <row r="66" customHeight="1" spans="1:14">
      <c r="A66" s="39">
        <v>45972</v>
      </c>
      <c r="B66" s="40" t="s">
        <v>16</v>
      </c>
      <c r="C66" s="23" t="str">
        <f>VLOOKUP(D66,物资目录!C:G,2,FALSE)</f>
        <v>洗洁精</v>
      </c>
      <c r="D66" s="23" t="s">
        <v>82</v>
      </c>
      <c r="E66" s="23" t="str">
        <f>VLOOKUP(D66,物资目录!C:G,3,FALSE)</f>
        <v>瓶</v>
      </c>
      <c r="F66" s="23" t="str">
        <f>VLOOKUP(D66,物资目录!C:G,4,FALSE)</f>
        <v>公厕保洁</v>
      </c>
      <c r="G66" s="23" t="str">
        <f>VLOOKUP(D66,物资目录!C:G,5,FALSE)</f>
        <v>耗材类</v>
      </c>
      <c r="H66" s="40">
        <v>1</v>
      </c>
      <c r="I66" s="40" t="s">
        <v>295</v>
      </c>
      <c r="J66" s="40"/>
      <c r="K66" s="40" t="s">
        <v>308</v>
      </c>
      <c r="L66" s="40"/>
      <c r="M66" s="40"/>
      <c r="N66" s="40"/>
    </row>
    <row r="67" customHeight="1" spans="1:14">
      <c r="A67" s="39">
        <v>45972</v>
      </c>
      <c r="B67" s="40" t="s">
        <v>16</v>
      </c>
      <c r="C67" s="23" t="str">
        <f>VLOOKUP(D67,物资目录!C:G,2,FALSE)</f>
        <v>洁厕液</v>
      </c>
      <c r="D67" s="23" t="s">
        <v>67</v>
      </c>
      <c r="E67" s="23" t="str">
        <f>VLOOKUP(D67,物资目录!C:G,3,FALSE)</f>
        <v>瓶</v>
      </c>
      <c r="F67" s="23" t="str">
        <f>VLOOKUP(D67,物资目录!C:G,4,FALSE)</f>
        <v>公厕保洁</v>
      </c>
      <c r="G67" s="23" t="str">
        <f>VLOOKUP(D67,物资目录!C:G,5,FALSE)</f>
        <v>耗材类</v>
      </c>
      <c r="H67" s="40">
        <v>2</v>
      </c>
      <c r="I67" s="40" t="s">
        <v>295</v>
      </c>
      <c r="J67" s="40"/>
      <c r="K67" s="40" t="s">
        <v>308</v>
      </c>
      <c r="L67" s="40"/>
      <c r="M67" s="40"/>
      <c r="N67" s="40"/>
    </row>
    <row r="68" customHeight="1" spans="1:14">
      <c r="A68" s="39">
        <v>45972</v>
      </c>
      <c r="B68" s="40" t="s">
        <v>16</v>
      </c>
      <c r="C68" s="23" t="str">
        <f>VLOOKUP(D68,物资目录!C:G,2,FALSE)</f>
        <v>手套</v>
      </c>
      <c r="D68" s="23" t="s">
        <v>32</v>
      </c>
      <c r="E68" s="23" t="str">
        <f>VLOOKUP(D68,物资目录!C:G,3,FALSE)</f>
        <v>双</v>
      </c>
      <c r="F68" s="23" t="str">
        <f>VLOOKUP(D68,物资目录!C:G,4,FALSE)</f>
        <v>道路保洁</v>
      </c>
      <c r="G68" s="23" t="str">
        <f>VLOOKUP(D68,物资目录!C:G,5,FALSE)</f>
        <v>工具类</v>
      </c>
      <c r="H68" s="40">
        <v>12</v>
      </c>
      <c r="I68" s="40" t="s">
        <v>294</v>
      </c>
      <c r="J68" s="40"/>
      <c r="K68" s="40"/>
      <c r="L68" s="40"/>
      <c r="M68" s="40"/>
      <c r="N68" s="40"/>
    </row>
    <row r="69" customHeight="1" spans="1:14">
      <c r="A69" s="39">
        <v>45972</v>
      </c>
      <c r="B69" s="40" t="s">
        <v>16</v>
      </c>
      <c r="C69" s="23" t="str">
        <f>VLOOKUP(D69,物资目录!C:G,2,FALSE)</f>
        <v>手套</v>
      </c>
      <c r="D69" s="23" t="s">
        <v>32</v>
      </c>
      <c r="E69" s="23" t="str">
        <f>VLOOKUP(D69,物资目录!C:G,3,FALSE)</f>
        <v>双</v>
      </c>
      <c r="F69" s="23" t="str">
        <f>VLOOKUP(D69,物资目录!C:G,4,FALSE)</f>
        <v>道路保洁</v>
      </c>
      <c r="G69" s="23" t="str">
        <f>VLOOKUP(D69,物资目录!C:G,5,FALSE)</f>
        <v>工具类</v>
      </c>
      <c r="H69" s="40">
        <v>12</v>
      </c>
      <c r="I69" s="40" t="s">
        <v>309</v>
      </c>
      <c r="J69" s="40"/>
      <c r="K69" s="40"/>
      <c r="L69" s="40"/>
      <c r="M69" s="40"/>
      <c r="N69" s="40"/>
    </row>
    <row r="70" customHeight="1" spans="1:14">
      <c r="A70" s="39">
        <v>45972</v>
      </c>
      <c r="B70" s="40" t="s">
        <v>16</v>
      </c>
      <c r="C70" s="23" t="str">
        <f>VLOOKUP(D70,物资目录!C:G,2,FALSE)</f>
        <v>手套</v>
      </c>
      <c r="D70" s="23" t="s">
        <v>32</v>
      </c>
      <c r="E70" s="23" t="str">
        <f>VLOOKUP(D70,物资目录!C:G,3,FALSE)</f>
        <v>双</v>
      </c>
      <c r="F70" s="23" t="str">
        <f>VLOOKUP(D70,物资目录!C:G,4,FALSE)</f>
        <v>道路保洁</v>
      </c>
      <c r="G70" s="23" t="str">
        <f>VLOOKUP(D70,物资目录!C:G,5,FALSE)</f>
        <v>工具类</v>
      </c>
      <c r="H70" s="40">
        <v>12</v>
      </c>
      <c r="I70" s="40" t="s">
        <v>292</v>
      </c>
      <c r="J70" s="40"/>
      <c r="K70" s="40"/>
      <c r="L70" s="40"/>
      <c r="M70" s="40"/>
      <c r="N70" s="40"/>
    </row>
    <row r="71" customHeight="1" spans="1:14">
      <c r="A71" s="39">
        <v>45973</v>
      </c>
      <c r="B71" s="40" t="s">
        <v>16</v>
      </c>
      <c r="C71" s="23" t="str">
        <f>VLOOKUP(D71,物资目录!C:G,2,FALSE)</f>
        <v>道路保洁扫把</v>
      </c>
      <c r="D71" s="23" t="s">
        <v>21</v>
      </c>
      <c r="E71" s="23" t="str">
        <f>VLOOKUP(D71,物资目录!C:G,3,FALSE)</f>
        <v>把</v>
      </c>
      <c r="F71" s="23" t="str">
        <f>VLOOKUP(D71,物资目录!C:G,4,FALSE)</f>
        <v>道路保洁</v>
      </c>
      <c r="G71" s="23" t="str">
        <f>VLOOKUP(D71,物资目录!C:G,5,FALSE)</f>
        <v>工具类</v>
      </c>
      <c r="H71" s="40">
        <v>13</v>
      </c>
      <c r="I71" s="40" t="s">
        <v>297</v>
      </c>
      <c r="J71" s="40"/>
      <c r="K71" s="40"/>
      <c r="L71" s="40"/>
      <c r="M71" s="40"/>
      <c r="N71" s="40"/>
    </row>
    <row r="72" customHeight="1" spans="1:14">
      <c r="A72" s="39">
        <v>45973</v>
      </c>
      <c r="B72" s="40" t="s">
        <v>16</v>
      </c>
      <c r="C72" s="23" t="str">
        <f>VLOOKUP(D72,物资目录!C:G,2,FALSE)</f>
        <v>道路保洁扫把</v>
      </c>
      <c r="D72" s="23" t="s">
        <v>21</v>
      </c>
      <c r="E72" s="23" t="str">
        <f>VLOOKUP(D72,物资目录!C:G,3,FALSE)</f>
        <v>把</v>
      </c>
      <c r="F72" s="23" t="str">
        <f>VLOOKUP(D72,物资目录!C:G,4,FALSE)</f>
        <v>道路保洁</v>
      </c>
      <c r="G72" s="23" t="str">
        <f>VLOOKUP(D72,物资目录!C:G,5,FALSE)</f>
        <v>工具类</v>
      </c>
      <c r="H72" s="40">
        <v>30</v>
      </c>
      <c r="I72" s="40" t="s">
        <v>294</v>
      </c>
      <c r="J72" s="40"/>
      <c r="K72" s="40"/>
      <c r="L72" s="40"/>
      <c r="M72" s="40"/>
      <c r="N72" s="40"/>
    </row>
    <row r="73" customHeight="1" spans="1:14">
      <c r="A73" s="39">
        <v>45974</v>
      </c>
      <c r="B73" s="40" t="s">
        <v>16</v>
      </c>
      <c r="C73" s="23" t="str">
        <f>VLOOKUP(D73,物资目录!C:G,2,FALSE)</f>
        <v>洗手液</v>
      </c>
      <c r="D73" s="23" t="s">
        <v>76</v>
      </c>
      <c r="E73" s="23" t="str">
        <f>VLOOKUP(D73,物资目录!C:G,3,FALSE)</f>
        <v>瓶</v>
      </c>
      <c r="F73" s="23" t="str">
        <f>VLOOKUP(D73,物资目录!C:G,4,FALSE)</f>
        <v>公厕保洁</v>
      </c>
      <c r="G73" s="23" t="str">
        <f>VLOOKUP(D73,物资目录!C:G,5,FALSE)</f>
        <v>耗材类</v>
      </c>
      <c r="H73" s="40">
        <v>2</v>
      </c>
      <c r="I73" s="40" t="s">
        <v>295</v>
      </c>
      <c r="J73" s="40"/>
      <c r="K73" s="40" t="s">
        <v>296</v>
      </c>
      <c r="L73" s="40"/>
      <c r="M73" s="40"/>
      <c r="N73" s="40"/>
    </row>
    <row r="74" customHeight="1" spans="1:14">
      <c r="A74" s="39">
        <v>45974</v>
      </c>
      <c r="B74" s="40" t="s">
        <v>16</v>
      </c>
      <c r="C74" s="23" t="str">
        <f>VLOOKUP(D74,物资目录!C:G,2,FALSE)</f>
        <v>洁厕液</v>
      </c>
      <c r="D74" s="23" t="s">
        <v>67</v>
      </c>
      <c r="E74" s="23" t="str">
        <f>VLOOKUP(D74,物资目录!C:G,3,FALSE)</f>
        <v>瓶</v>
      </c>
      <c r="F74" s="23" t="str">
        <f>VLOOKUP(D74,物资目录!C:G,4,FALSE)</f>
        <v>公厕保洁</v>
      </c>
      <c r="G74" s="23" t="str">
        <f>VLOOKUP(D74,物资目录!C:G,5,FALSE)</f>
        <v>耗材类</v>
      </c>
      <c r="H74" s="40">
        <v>2</v>
      </c>
      <c r="I74" s="40" t="s">
        <v>295</v>
      </c>
      <c r="J74" s="40"/>
      <c r="K74" s="40" t="s">
        <v>296</v>
      </c>
      <c r="L74" s="40"/>
      <c r="M74" s="40"/>
      <c r="N74" s="40"/>
    </row>
    <row r="75" customHeight="1" spans="1:14">
      <c r="A75" s="39">
        <v>45974</v>
      </c>
      <c r="B75" s="40" t="s">
        <v>16</v>
      </c>
      <c r="C75" s="23" t="str">
        <f>VLOOKUP(D75,物资目录!C:G,2,FALSE)</f>
        <v>檀香</v>
      </c>
      <c r="D75" s="23" t="s">
        <v>73</v>
      </c>
      <c r="E75" s="23" t="str">
        <f>VLOOKUP(D75,物资目录!C:G,3,FALSE)</f>
        <v>盒</v>
      </c>
      <c r="F75" s="23" t="str">
        <f>VLOOKUP(D75,物资目录!C:G,4,FALSE)</f>
        <v>公厕保洁</v>
      </c>
      <c r="G75" s="23" t="str">
        <f>VLOOKUP(D75,物资目录!C:G,5,FALSE)</f>
        <v>耗材类</v>
      </c>
      <c r="H75" s="40">
        <v>5</v>
      </c>
      <c r="I75" s="40" t="s">
        <v>295</v>
      </c>
      <c r="J75" s="40"/>
      <c r="K75" s="40" t="s">
        <v>296</v>
      </c>
      <c r="L75" s="40"/>
      <c r="M75" s="40"/>
      <c r="N75" s="40"/>
    </row>
    <row r="76" customHeight="1" spans="1:14">
      <c r="A76" s="39">
        <v>45974</v>
      </c>
      <c r="B76" s="40" t="s">
        <v>16</v>
      </c>
      <c r="C76" s="23" t="str">
        <f>VLOOKUP(D76,物资目录!C:G,2,FALSE)</f>
        <v>垃圾袋</v>
      </c>
      <c r="D76" s="23" t="s">
        <v>68</v>
      </c>
      <c r="E76" s="23" t="str">
        <f>VLOOKUP(D76,物资目录!C:G,3,FALSE)</f>
        <v>卷</v>
      </c>
      <c r="F76" s="23" t="str">
        <f>VLOOKUP(D76,物资目录!C:G,4,FALSE)</f>
        <v>公厕保洁</v>
      </c>
      <c r="G76" s="23" t="str">
        <f>VLOOKUP(D76,物资目录!C:G,5,FALSE)</f>
        <v>耗材类</v>
      </c>
      <c r="H76" s="40">
        <v>5</v>
      </c>
      <c r="I76" s="40" t="s">
        <v>295</v>
      </c>
      <c r="J76" s="40"/>
      <c r="K76" s="40" t="s">
        <v>296</v>
      </c>
      <c r="L76" s="40"/>
      <c r="M76" s="40"/>
      <c r="N76" s="40"/>
    </row>
    <row r="77" customHeight="1" spans="1:14">
      <c r="A77" s="39">
        <v>45974</v>
      </c>
      <c r="B77" s="40" t="s">
        <v>16</v>
      </c>
      <c r="C77" s="23" t="str">
        <f>VLOOKUP(D77,物资目录!C:G,2,FALSE)</f>
        <v>垃圾夹</v>
      </c>
      <c r="D77" s="23" t="s">
        <v>28</v>
      </c>
      <c r="E77" s="23" t="str">
        <f>VLOOKUP(D77,物资目录!C:G,3,FALSE)</f>
        <v>把</v>
      </c>
      <c r="F77" s="23" t="str">
        <f>VLOOKUP(D77,物资目录!C:G,4,FALSE)</f>
        <v>道路保洁</v>
      </c>
      <c r="G77" s="23" t="str">
        <f>VLOOKUP(D77,物资目录!C:G,5,FALSE)</f>
        <v>工具类</v>
      </c>
      <c r="H77" s="40">
        <v>1</v>
      </c>
      <c r="I77" s="40" t="s">
        <v>295</v>
      </c>
      <c r="J77" s="40"/>
      <c r="K77" s="40" t="s">
        <v>296</v>
      </c>
      <c r="L77" s="40"/>
      <c r="M77" s="40"/>
      <c r="N77" s="40"/>
    </row>
    <row r="78" customHeight="1" spans="1:14">
      <c r="A78" s="39">
        <v>45975</v>
      </c>
      <c r="B78" s="40" t="s">
        <v>16</v>
      </c>
      <c r="C78" s="23" t="str">
        <f>VLOOKUP(D78,物资目录!C:G,2,FALSE)</f>
        <v>铁耙</v>
      </c>
      <c r="D78" s="23" t="s">
        <v>225</v>
      </c>
      <c r="E78" s="23" t="str">
        <f>VLOOKUP(D78,物资目录!C:G,3,FALSE)</f>
        <v>把</v>
      </c>
      <c r="F78" s="23" t="str">
        <f>VLOOKUP(D78,物资目录!C:G,4,FALSE)</f>
        <v>道路保洁</v>
      </c>
      <c r="G78" s="23" t="str">
        <f>VLOOKUP(D78,物资目录!C:G,5,FALSE)</f>
        <v>工具类</v>
      </c>
      <c r="H78" s="40">
        <v>1</v>
      </c>
      <c r="I78" s="40" t="s">
        <v>302</v>
      </c>
      <c r="J78" s="40"/>
      <c r="K78" s="40"/>
      <c r="L78" s="40"/>
      <c r="M78" s="40"/>
      <c r="N78" s="40"/>
    </row>
    <row r="79" customHeight="1" spans="1:14">
      <c r="A79" s="39">
        <v>45975</v>
      </c>
      <c r="B79" s="40" t="s">
        <v>16</v>
      </c>
      <c r="C79" s="23" t="str">
        <f>VLOOKUP(D79,物资目录!C:G,2,FALSE)</f>
        <v>蛇皮袋</v>
      </c>
      <c r="D79" s="23" t="s">
        <v>48</v>
      </c>
      <c r="E79" s="23" t="str">
        <f>VLOOKUP(D79,物资目录!C:G,3,FALSE)</f>
        <v>个</v>
      </c>
      <c r="F79" s="23" t="str">
        <f>VLOOKUP(D79,物资目录!C:G,4,FALSE)</f>
        <v>道路保洁</v>
      </c>
      <c r="G79" s="23" t="str">
        <f>VLOOKUP(D79,物资目录!C:G,5,FALSE)</f>
        <v>耗材类</v>
      </c>
      <c r="H79" s="40">
        <v>2</v>
      </c>
      <c r="I79" s="40" t="s">
        <v>300</v>
      </c>
      <c r="J79" s="40"/>
      <c r="K79" s="40"/>
      <c r="L79" s="40"/>
      <c r="M79" s="40"/>
      <c r="N79" s="40"/>
    </row>
    <row r="80" customHeight="1" spans="1:14">
      <c r="A80" s="39">
        <v>45976</v>
      </c>
      <c r="B80" s="40" t="s">
        <v>16</v>
      </c>
      <c r="C80" s="23" t="str">
        <f>VLOOKUP(D80,物资目录!C:G,2,FALSE)</f>
        <v>手套</v>
      </c>
      <c r="D80" s="23" t="s">
        <v>32</v>
      </c>
      <c r="E80" s="23" t="str">
        <f>VLOOKUP(D80,物资目录!C:G,3,FALSE)</f>
        <v>双</v>
      </c>
      <c r="F80" s="23" t="str">
        <f>VLOOKUP(D80,物资目录!C:G,4,FALSE)</f>
        <v>道路保洁</v>
      </c>
      <c r="G80" s="23" t="str">
        <f>VLOOKUP(D80,物资目录!C:G,5,FALSE)</f>
        <v>工具类</v>
      </c>
      <c r="H80" s="40">
        <v>12</v>
      </c>
      <c r="I80" s="40" t="s">
        <v>306</v>
      </c>
      <c r="J80" s="40"/>
      <c r="K80" s="40"/>
      <c r="L80" s="40"/>
      <c r="M80" s="40"/>
      <c r="N80" s="40"/>
    </row>
    <row r="81" customHeight="1" spans="1:14">
      <c r="A81" s="39">
        <v>45977</v>
      </c>
      <c r="B81" s="40" t="s">
        <v>16</v>
      </c>
      <c r="C81" s="23" t="str">
        <f>VLOOKUP(D81,物资目录!C:G,2,FALSE)</f>
        <v>卷纸</v>
      </c>
      <c r="D81" s="23" t="s">
        <v>80</v>
      </c>
      <c r="E81" s="23" t="str">
        <f>VLOOKUP(D81,物资目录!C:G,3,FALSE)</f>
        <v>卷</v>
      </c>
      <c r="F81" s="23" t="str">
        <f>VLOOKUP(D81,物资目录!C:G,4,FALSE)</f>
        <v>公厕保洁</v>
      </c>
      <c r="G81" s="23" t="str">
        <f>VLOOKUP(D81,物资目录!C:G,5,FALSE)</f>
        <v>耗材类</v>
      </c>
      <c r="H81" s="40">
        <v>1</v>
      </c>
      <c r="I81" s="40"/>
      <c r="J81" s="40"/>
      <c r="K81" s="40" t="s">
        <v>304</v>
      </c>
      <c r="L81" s="40"/>
      <c r="M81" s="40"/>
      <c r="N81" s="40"/>
    </row>
    <row r="82" customHeight="1" spans="1:14">
      <c r="A82" s="39">
        <v>45977</v>
      </c>
      <c r="B82" s="40" t="s">
        <v>16</v>
      </c>
      <c r="C82" s="23" t="str">
        <f>VLOOKUP(D82,物资目录!C:G,2,FALSE)</f>
        <v>卷纸</v>
      </c>
      <c r="D82" s="23" t="s">
        <v>80</v>
      </c>
      <c r="E82" s="23" t="str">
        <f>VLOOKUP(D82,物资目录!C:G,3,FALSE)</f>
        <v>卷</v>
      </c>
      <c r="F82" s="23" t="str">
        <f>VLOOKUP(D82,物资目录!C:G,4,FALSE)</f>
        <v>公厕保洁</v>
      </c>
      <c r="G82" s="23" t="str">
        <f>VLOOKUP(D82,物资目录!C:G,5,FALSE)</f>
        <v>耗材类</v>
      </c>
      <c r="H82" s="40">
        <v>12</v>
      </c>
      <c r="I82" s="40" t="s">
        <v>295</v>
      </c>
      <c r="J82" s="40"/>
      <c r="K82" s="40" t="s">
        <v>299</v>
      </c>
      <c r="L82" s="40"/>
      <c r="M82" s="40"/>
      <c r="N82" s="40"/>
    </row>
    <row r="83" customHeight="1" spans="1:14">
      <c r="A83" s="39">
        <v>45977</v>
      </c>
      <c r="B83" s="40" t="s">
        <v>16</v>
      </c>
      <c r="C83" s="23" t="str">
        <f>VLOOKUP(D83,物资目录!C:G,2,FALSE)</f>
        <v>铁锹木柄</v>
      </c>
      <c r="D83" s="23" t="s">
        <v>177</v>
      </c>
      <c r="E83" s="23" t="str">
        <f>VLOOKUP(D83,物资目录!C:G,3,FALSE)</f>
        <v>根</v>
      </c>
      <c r="F83" s="23" t="str">
        <f>VLOOKUP(D83,物资目录!C:G,4,FALSE)</f>
        <v>道路保洁</v>
      </c>
      <c r="G83" s="23" t="str">
        <f>VLOOKUP(D83,物资目录!C:G,5,FALSE)</f>
        <v>工具类</v>
      </c>
      <c r="H83" s="40">
        <v>1</v>
      </c>
      <c r="I83" s="40" t="s">
        <v>300</v>
      </c>
      <c r="J83" s="40"/>
      <c r="K83" s="40"/>
      <c r="L83" s="40"/>
      <c r="M83" s="40"/>
      <c r="N83" s="40"/>
    </row>
    <row r="84" customHeight="1" spans="1:14">
      <c r="A84" s="39">
        <v>45978</v>
      </c>
      <c r="B84" s="40" t="s">
        <v>16</v>
      </c>
      <c r="C84" s="23" t="str">
        <f>VLOOKUP(D84,物资目录!C:G,2,FALSE)</f>
        <v>洁厕液</v>
      </c>
      <c r="D84" s="23" t="s">
        <v>67</v>
      </c>
      <c r="E84" s="23" t="str">
        <f>VLOOKUP(D84,物资目录!C:G,3,FALSE)</f>
        <v>瓶</v>
      </c>
      <c r="F84" s="23" t="str">
        <f>VLOOKUP(D84,物资目录!C:G,4,FALSE)</f>
        <v>公厕保洁</v>
      </c>
      <c r="G84" s="23" t="str">
        <f>VLOOKUP(D84,物资目录!C:G,5,FALSE)</f>
        <v>耗材类</v>
      </c>
      <c r="H84" s="40">
        <v>2</v>
      </c>
      <c r="I84" s="40" t="s">
        <v>295</v>
      </c>
      <c r="J84" s="40"/>
      <c r="K84" s="40" t="s">
        <v>296</v>
      </c>
      <c r="L84" s="40"/>
      <c r="M84" s="40"/>
      <c r="N84" s="40"/>
    </row>
    <row r="85" customHeight="1" spans="1:14">
      <c r="A85" s="39">
        <v>45978</v>
      </c>
      <c r="B85" s="40" t="s">
        <v>16</v>
      </c>
      <c r="C85" s="23" t="str">
        <f>VLOOKUP(D85,物资目录!C:G,2,FALSE)</f>
        <v>洗手液</v>
      </c>
      <c r="D85" s="23" t="s">
        <v>76</v>
      </c>
      <c r="E85" s="23" t="str">
        <f>VLOOKUP(D85,物资目录!C:G,3,FALSE)</f>
        <v>瓶</v>
      </c>
      <c r="F85" s="23" t="str">
        <f>VLOOKUP(D85,物资目录!C:G,4,FALSE)</f>
        <v>公厕保洁</v>
      </c>
      <c r="G85" s="23" t="str">
        <f>VLOOKUP(D85,物资目录!C:G,5,FALSE)</f>
        <v>耗材类</v>
      </c>
      <c r="H85" s="40">
        <v>2</v>
      </c>
      <c r="I85" s="40" t="s">
        <v>295</v>
      </c>
      <c r="J85" s="40"/>
      <c r="K85" s="40" t="s">
        <v>296</v>
      </c>
      <c r="L85" s="40"/>
      <c r="M85" s="40"/>
      <c r="N85" s="40"/>
    </row>
    <row r="86" customHeight="1" spans="1:14">
      <c r="A86" s="39">
        <v>45978</v>
      </c>
      <c r="B86" s="40" t="s">
        <v>16</v>
      </c>
      <c r="C86" s="23" t="str">
        <f>VLOOKUP(D86,物资目录!C:G,2,FALSE)</f>
        <v>檀香</v>
      </c>
      <c r="D86" s="23" t="s">
        <v>73</v>
      </c>
      <c r="E86" s="23" t="str">
        <f>VLOOKUP(D86,物资目录!C:G,3,FALSE)</f>
        <v>盒</v>
      </c>
      <c r="F86" s="23" t="str">
        <f>VLOOKUP(D86,物资目录!C:G,4,FALSE)</f>
        <v>公厕保洁</v>
      </c>
      <c r="G86" s="23" t="str">
        <f>VLOOKUP(D86,物资目录!C:G,5,FALSE)</f>
        <v>耗材类</v>
      </c>
      <c r="H86" s="40">
        <v>6</v>
      </c>
      <c r="I86" s="40" t="s">
        <v>295</v>
      </c>
      <c r="J86" s="40"/>
      <c r="K86" s="40" t="s">
        <v>296</v>
      </c>
      <c r="L86" s="40"/>
      <c r="M86" s="40"/>
      <c r="N86" s="40"/>
    </row>
    <row r="87" customHeight="1" spans="1:14">
      <c r="A87" s="39">
        <v>45978</v>
      </c>
      <c r="B87" s="40" t="s">
        <v>16</v>
      </c>
      <c r="C87" s="23" t="str">
        <f>VLOOKUP(D87,物资目录!C:G,2,FALSE)</f>
        <v>垃圾袋</v>
      </c>
      <c r="D87" s="23" t="s">
        <v>68</v>
      </c>
      <c r="E87" s="23" t="str">
        <f>VLOOKUP(D87,物资目录!C:G,3,FALSE)</f>
        <v>卷</v>
      </c>
      <c r="F87" s="23" t="str">
        <f>VLOOKUP(D87,物资目录!C:G,4,FALSE)</f>
        <v>公厕保洁</v>
      </c>
      <c r="G87" s="23" t="str">
        <f>VLOOKUP(D87,物资目录!C:G,5,FALSE)</f>
        <v>耗材类</v>
      </c>
      <c r="H87" s="40">
        <v>4</v>
      </c>
      <c r="I87" s="40" t="s">
        <v>295</v>
      </c>
      <c r="J87" s="40"/>
      <c r="K87" s="40" t="s">
        <v>296</v>
      </c>
      <c r="L87" s="40"/>
      <c r="M87" s="40"/>
      <c r="N87" s="40"/>
    </row>
    <row r="88" customHeight="1" spans="1:14">
      <c r="A88" s="39">
        <v>45978</v>
      </c>
      <c r="B88" s="40" t="s">
        <v>16</v>
      </c>
      <c r="C88" s="23" t="str">
        <f>VLOOKUP(D88,物资目录!C:G,2,FALSE)</f>
        <v>卷纸</v>
      </c>
      <c r="D88" s="23" t="s">
        <v>80</v>
      </c>
      <c r="E88" s="23" t="str">
        <f>VLOOKUP(D88,物资目录!C:G,3,FALSE)</f>
        <v>卷</v>
      </c>
      <c r="F88" s="23" t="str">
        <f>VLOOKUP(D88,物资目录!C:G,4,FALSE)</f>
        <v>公厕保洁</v>
      </c>
      <c r="G88" s="23" t="str">
        <f>VLOOKUP(D88,物资目录!C:G,5,FALSE)</f>
        <v>耗材类</v>
      </c>
      <c r="H88" s="40">
        <v>2</v>
      </c>
      <c r="I88" s="40" t="s">
        <v>295</v>
      </c>
      <c r="J88" s="40"/>
      <c r="K88" s="40" t="s">
        <v>296</v>
      </c>
      <c r="L88" s="40"/>
      <c r="M88" s="40"/>
      <c r="N88" s="40"/>
    </row>
    <row r="89" customHeight="1" spans="1:14">
      <c r="A89" s="39">
        <v>45978</v>
      </c>
      <c r="B89" s="40" t="s">
        <v>16</v>
      </c>
      <c r="C89" s="23" t="str">
        <f>VLOOKUP(D89,物资目录!C:G,2,FALSE)</f>
        <v>除油片</v>
      </c>
      <c r="D89" s="25" t="s">
        <v>125</v>
      </c>
      <c r="E89" s="23" t="str">
        <f>VLOOKUP(D89,物资目录!C:G,3,FALSE)</f>
        <v>包</v>
      </c>
      <c r="F89" s="23" t="str">
        <f>VLOOKUP(D89,物资目录!C:G,4,FALSE)</f>
        <v>油污整治</v>
      </c>
      <c r="G89" s="23" t="str">
        <f>VLOOKUP(D89,物资目录!C:G,5,FALSE)</f>
        <v>耗材类</v>
      </c>
      <c r="H89" s="40">
        <v>1</v>
      </c>
      <c r="I89" s="40" t="s">
        <v>310</v>
      </c>
      <c r="J89" s="40"/>
      <c r="K89" s="40"/>
      <c r="L89" s="40"/>
      <c r="M89" s="40"/>
      <c r="N89" s="40"/>
    </row>
    <row r="90" customHeight="1" spans="1:14">
      <c r="A90" s="39">
        <v>45978</v>
      </c>
      <c r="B90" s="40" t="s">
        <v>16</v>
      </c>
      <c r="C90" s="23" t="str">
        <f>VLOOKUP(D90,物资目录!C:G,2,FALSE)</f>
        <v>防水围裙</v>
      </c>
      <c r="D90" s="25" t="s">
        <v>116</v>
      </c>
      <c r="E90" s="23" t="str">
        <f>VLOOKUP(D90,物资目录!C:G,3,FALSE)</f>
        <v>件</v>
      </c>
      <c r="F90" s="23" t="str">
        <f>VLOOKUP(D90,物资目录!C:G,4,FALSE)</f>
        <v>油污整治</v>
      </c>
      <c r="G90" s="23" t="str">
        <f>VLOOKUP(D90,物资目录!C:G,5,FALSE)</f>
        <v>工具类</v>
      </c>
      <c r="H90" s="40">
        <v>1</v>
      </c>
      <c r="I90" s="40" t="s">
        <v>310</v>
      </c>
      <c r="J90" s="40"/>
      <c r="K90" s="40"/>
      <c r="L90" s="40"/>
      <c r="M90" s="40"/>
      <c r="N90" s="40"/>
    </row>
    <row r="91" customHeight="1" spans="1:14">
      <c r="A91" s="39">
        <v>45979</v>
      </c>
      <c r="B91" s="40" t="s">
        <v>16</v>
      </c>
      <c r="C91" s="23" t="str">
        <f>VLOOKUP(D91,物资目录!C:G,2,FALSE)</f>
        <v>檀香</v>
      </c>
      <c r="D91" s="23" t="s">
        <v>73</v>
      </c>
      <c r="E91" s="23" t="str">
        <f>VLOOKUP(D91,物资目录!C:G,3,FALSE)</f>
        <v>盒</v>
      </c>
      <c r="F91" s="23" t="str">
        <f>VLOOKUP(D91,物资目录!C:G,4,FALSE)</f>
        <v>公厕保洁</v>
      </c>
      <c r="G91" s="23" t="str">
        <f>VLOOKUP(D91,物资目录!C:G,5,FALSE)</f>
        <v>耗材类</v>
      </c>
      <c r="H91" s="40">
        <v>10</v>
      </c>
      <c r="I91" s="40" t="s">
        <v>295</v>
      </c>
      <c r="J91" s="40"/>
      <c r="K91" s="40" t="s">
        <v>298</v>
      </c>
      <c r="L91" s="40"/>
      <c r="M91" s="40"/>
      <c r="N91" s="40"/>
    </row>
    <row r="92" customHeight="1" spans="1:14">
      <c r="A92" s="39">
        <v>45979</v>
      </c>
      <c r="B92" s="40" t="s">
        <v>16</v>
      </c>
      <c r="C92" s="23" t="str">
        <f>VLOOKUP(D92,物资目录!C:G,2,FALSE)</f>
        <v>洁厕液</v>
      </c>
      <c r="D92" s="23" t="s">
        <v>67</v>
      </c>
      <c r="E92" s="23" t="str">
        <f>VLOOKUP(D92,物资目录!C:G,3,FALSE)</f>
        <v>瓶</v>
      </c>
      <c r="F92" s="23" t="str">
        <f>VLOOKUP(D92,物资目录!C:G,4,FALSE)</f>
        <v>公厕保洁</v>
      </c>
      <c r="G92" s="23" t="str">
        <f>VLOOKUP(D92,物资目录!C:G,5,FALSE)</f>
        <v>耗材类</v>
      </c>
      <c r="H92" s="40">
        <v>3</v>
      </c>
      <c r="I92" s="40" t="s">
        <v>295</v>
      </c>
      <c r="J92" s="40"/>
      <c r="K92" s="40" t="s">
        <v>298</v>
      </c>
      <c r="L92" s="40"/>
      <c r="M92" s="40"/>
      <c r="N92" s="40"/>
    </row>
    <row r="93" customHeight="1" spans="1:14">
      <c r="A93" s="39">
        <v>45980</v>
      </c>
      <c r="B93" s="40" t="s">
        <v>16</v>
      </c>
      <c r="C93" s="23" t="str">
        <f>VLOOKUP(D93,物资目录!C:G,2,FALSE)</f>
        <v>檀香</v>
      </c>
      <c r="D93" s="23" t="s">
        <v>73</v>
      </c>
      <c r="E93" s="23" t="str">
        <f>VLOOKUP(D93,物资目录!C:G,3,FALSE)</f>
        <v>盒</v>
      </c>
      <c r="F93" s="23" t="str">
        <f>VLOOKUP(D93,物资目录!C:G,4,FALSE)</f>
        <v>公厕保洁</v>
      </c>
      <c r="G93" s="23" t="str">
        <f>VLOOKUP(D93,物资目录!C:G,5,FALSE)</f>
        <v>耗材类</v>
      </c>
      <c r="H93" s="40">
        <v>3</v>
      </c>
      <c r="I93" s="40" t="s">
        <v>295</v>
      </c>
      <c r="J93" s="40"/>
      <c r="K93" s="40" t="s">
        <v>299</v>
      </c>
      <c r="L93" s="40"/>
      <c r="M93" s="40"/>
      <c r="N93" s="40"/>
    </row>
    <row r="94" customHeight="1" spans="1:14">
      <c r="A94" s="39">
        <v>45980</v>
      </c>
      <c r="B94" s="40" t="s">
        <v>16</v>
      </c>
      <c r="C94" s="23" t="str">
        <f>VLOOKUP(D94,物资目录!C:G,2,FALSE)</f>
        <v>扫把</v>
      </c>
      <c r="D94" s="23" t="s">
        <v>184</v>
      </c>
      <c r="E94" s="23" t="str">
        <f>VLOOKUP(D94,物资目录!C:G,3,FALSE)</f>
        <v>套</v>
      </c>
      <c r="F94" s="23" t="str">
        <f>VLOOKUP(D94,物资目录!C:G,4,FALSE)</f>
        <v>公厕保洁</v>
      </c>
      <c r="G94" s="23" t="str">
        <f>VLOOKUP(D94,物资目录!C:G,5,FALSE)</f>
        <v>工具类</v>
      </c>
      <c r="H94" s="40">
        <v>1</v>
      </c>
      <c r="I94" s="40" t="s">
        <v>295</v>
      </c>
      <c r="J94" s="40"/>
      <c r="K94" s="40" t="s">
        <v>299</v>
      </c>
      <c r="L94" s="40"/>
      <c r="M94" s="40"/>
      <c r="N94" s="40"/>
    </row>
    <row r="95" customHeight="1" spans="1:14">
      <c r="A95" s="39">
        <v>45980</v>
      </c>
      <c r="B95" s="40" t="s">
        <v>16</v>
      </c>
      <c r="C95" s="23" t="str">
        <f>VLOOKUP(D95,物资目录!C:G,2,FALSE)</f>
        <v>垃圾袋</v>
      </c>
      <c r="D95" s="23" t="s">
        <v>68</v>
      </c>
      <c r="E95" s="23" t="str">
        <f>VLOOKUP(D95,物资目录!C:G,3,FALSE)</f>
        <v>卷</v>
      </c>
      <c r="F95" s="23" t="str">
        <f>VLOOKUP(D95,物资目录!C:G,4,FALSE)</f>
        <v>公厕保洁</v>
      </c>
      <c r="G95" s="23" t="str">
        <f>VLOOKUP(D95,物资目录!C:G,5,FALSE)</f>
        <v>耗材类</v>
      </c>
      <c r="H95" s="40">
        <v>2</v>
      </c>
      <c r="I95" s="40" t="s">
        <v>295</v>
      </c>
      <c r="J95" s="40"/>
      <c r="K95" s="40" t="s">
        <v>299</v>
      </c>
      <c r="L95" s="40"/>
      <c r="M95" s="40"/>
      <c r="N95" s="40"/>
    </row>
    <row r="96" customHeight="1" spans="1:14">
      <c r="A96" s="39">
        <v>45981</v>
      </c>
      <c r="B96" s="40" t="s">
        <v>16</v>
      </c>
      <c r="C96" s="23" t="str">
        <f>VLOOKUP(D96,物资目录!C:G,2,FALSE)</f>
        <v>除油片</v>
      </c>
      <c r="D96" s="25" t="s">
        <v>125</v>
      </c>
      <c r="E96" s="23" t="str">
        <f>VLOOKUP(D96,物资目录!C:G,3,FALSE)</f>
        <v>包</v>
      </c>
      <c r="F96" s="23" t="str">
        <f>VLOOKUP(D96,物资目录!C:G,4,FALSE)</f>
        <v>油污整治</v>
      </c>
      <c r="G96" s="23" t="str">
        <f>VLOOKUP(D96,物资目录!C:G,5,FALSE)</f>
        <v>耗材类</v>
      </c>
      <c r="H96" s="40">
        <v>1</v>
      </c>
      <c r="I96" s="40" t="s">
        <v>311</v>
      </c>
      <c r="J96" s="40"/>
      <c r="K96" s="40"/>
      <c r="L96" s="40"/>
      <c r="M96" s="40"/>
      <c r="N96" s="40"/>
    </row>
    <row r="97" customHeight="1" spans="1:14">
      <c r="A97" s="39">
        <v>45981</v>
      </c>
      <c r="B97" s="40" t="s">
        <v>16</v>
      </c>
      <c r="C97" s="23" t="str">
        <f>VLOOKUP(D97,物资目录!C:G,2,FALSE)</f>
        <v>手套</v>
      </c>
      <c r="D97" s="23" t="s">
        <v>32</v>
      </c>
      <c r="E97" s="23" t="str">
        <f>VLOOKUP(D97,物资目录!C:G,3,FALSE)</f>
        <v>双</v>
      </c>
      <c r="F97" s="23" t="str">
        <f>VLOOKUP(D97,物资目录!C:G,4,FALSE)</f>
        <v>道路保洁</v>
      </c>
      <c r="G97" s="23" t="str">
        <f>VLOOKUP(D97,物资目录!C:G,5,FALSE)</f>
        <v>工具类</v>
      </c>
      <c r="H97" s="40">
        <v>12</v>
      </c>
      <c r="I97" s="40" t="s">
        <v>311</v>
      </c>
      <c r="J97" s="40"/>
      <c r="K97" s="40"/>
      <c r="L97" s="40"/>
      <c r="M97" s="40"/>
      <c r="N97" s="40"/>
    </row>
    <row r="98" customHeight="1" spans="1:14">
      <c r="A98" s="39">
        <v>45981</v>
      </c>
      <c r="B98" s="40" t="s">
        <v>16</v>
      </c>
      <c r="C98" s="23" t="str">
        <f>VLOOKUP(D98,物资目录!C:G,2,FALSE)</f>
        <v>雨靴</v>
      </c>
      <c r="D98" s="27" t="s">
        <v>234</v>
      </c>
      <c r="E98" s="23" t="str">
        <f>VLOOKUP(D98,物资目录!C:G,3,FALSE)</f>
        <v>双</v>
      </c>
      <c r="F98" s="23" t="str">
        <f>VLOOKUP(D98,物资目录!C:G,4,FALSE)</f>
        <v>工作服装</v>
      </c>
      <c r="G98" s="23" t="str">
        <f>VLOOKUP(D98,物资目录!C:G,5,FALSE)</f>
        <v>服装类</v>
      </c>
      <c r="H98" s="40">
        <v>1</v>
      </c>
      <c r="I98" s="40" t="s">
        <v>312</v>
      </c>
      <c r="J98" s="40"/>
      <c r="K98" s="40"/>
      <c r="L98" s="40"/>
      <c r="M98" s="40"/>
      <c r="N98" s="40"/>
    </row>
    <row r="99" customHeight="1" spans="1:14">
      <c r="A99" s="39">
        <v>45981</v>
      </c>
      <c r="B99" s="40" t="s">
        <v>16</v>
      </c>
      <c r="C99" s="23" t="str">
        <f>VLOOKUP(D99,物资目录!C:G,2,FALSE)</f>
        <v>毛巾</v>
      </c>
      <c r="D99" s="23" t="s">
        <v>103</v>
      </c>
      <c r="E99" s="23" t="str">
        <f>VLOOKUP(D99,物资目录!C:G,3,FALSE)</f>
        <v>条</v>
      </c>
      <c r="F99" s="23" t="str">
        <f>VLOOKUP(D99,物资目录!C:G,4,FALSE)</f>
        <v>通用物资</v>
      </c>
      <c r="G99" s="23" t="str">
        <f>VLOOKUP(D99,物资目录!C:G,5,FALSE)</f>
        <v>工具类</v>
      </c>
      <c r="H99" s="40">
        <v>1</v>
      </c>
      <c r="I99" s="40" t="s">
        <v>306</v>
      </c>
      <c r="J99" s="40"/>
      <c r="K99" s="40"/>
      <c r="L99" s="40"/>
      <c r="M99" s="40"/>
      <c r="N99" s="40"/>
    </row>
    <row r="100" customHeight="1" spans="1:14">
      <c r="A100" s="39">
        <v>45981</v>
      </c>
      <c r="B100" s="40" t="s">
        <v>16</v>
      </c>
      <c r="C100" s="23" t="str">
        <f>VLOOKUP(D100,物资目录!C:G,2,FALSE)</f>
        <v>垃圾夹</v>
      </c>
      <c r="D100" s="23" t="s">
        <v>28</v>
      </c>
      <c r="E100" s="23" t="str">
        <f>VLOOKUP(D100,物资目录!C:G,3,FALSE)</f>
        <v>把</v>
      </c>
      <c r="F100" s="23" t="str">
        <f>VLOOKUP(D100,物资目录!C:G,4,FALSE)</f>
        <v>道路保洁</v>
      </c>
      <c r="G100" s="23" t="str">
        <f>VLOOKUP(D100,物资目录!C:G,5,FALSE)</f>
        <v>工具类</v>
      </c>
      <c r="H100" s="40">
        <v>1</v>
      </c>
      <c r="I100" s="40" t="s">
        <v>306</v>
      </c>
      <c r="J100" s="40"/>
      <c r="K100" s="40"/>
      <c r="L100" s="40"/>
      <c r="M100" s="40"/>
      <c r="N100" s="40"/>
    </row>
    <row r="101" customHeight="1" spans="1:14">
      <c r="A101" s="39">
        <v>45982</v>
      </c>
      <c r="B101" s="40" t="s">
        <v>16</v>
      </c>
      <c r="C101" s="23" t="str">
        <f>VLOOKUP(D101,物资目录!C:G,2,FALSE)</f>
        <v>手套</v>
      </c>
      <c r="D101" s="23" t="s">
        <v>32</v>
      </c>
      <c r="E101" s="23" t="str">
        <f>VLOOKUP(D101,物资目录!C:G,3,FALSE)</f>
        <v>双</v>
      </c>
      <c r="F101" s="23" t="str">
        <f>VLOOKUP(D101,物资目录!C:G,4,FALSE)</f>
        <v>道路保洁</v>
      </c>
      <c r="G101" s="23" t="str">
        <f>VLOOKUP(D101,物资目录!C:G,5,FALSE)</f>
        <v>工具类</v>
      </c>
      <c r="H101" s="40">
        <v>12</v>
      </c>
      <c r="I101" s="40" t="s">
        <v>293</v>
      </c>
      <c r="J101" s="40"/>
      <c r="K101" s="40"/>
      <c r="L101" s="40"/>
      <c r="M101" s="40"/>
      <c r="N101" s="40"/>
    </row>
    <row r="102" customHeight="1" spans="1:14">
      <c r="A102" s="39">
        <v>45982</v>
      </c>
      <c r="B102" s="40" t="s">
        <v>16</v>
      </c>
      <c r="C102" s="23" t="str">
        <f>VLOOKUP(D102,物资目录!C:G,2,FALSE)</f>
        <v>拖把</v>
      </c>
      <c r="D102" s="23" t="s">
        <v>57</v>
      </c>
      <c r="E102" s="23" t="str">
        <f>VLOOKUP(D102,物资目录!C:G,3,FALSE)</f>
        <v>把</v>
      </c>
      <c r="F102" s="23" t="str">
        <f>VLOOKUP(D102,物资目录!C:G,4,FALSE)</f>
        <v>公厕保洁</v>
      </c>
      <c r="G102" s="23" t="str">
        <f>VLOOKUP(D102,物资目录!C:G,5,FALSE)</f>
        <v>工具类</v>
      </c>
      <c r="H102" s="40">
        <v>1</v>
      </c>
      <c r="I102" s="40" t="s">
        <v>295</v>
      </c>
      <c r="J102" s="40"/>
      <c r="K102" s="40" t="s">
        <v>296</v>
      </c>
      <c r="L102" s="40"/>
      <c r="M102" s="40"/>
      <c r="N102" s="40"/>
    </row>
    <row r="103" customHeight="1" spans="1:14">
      <c r="A103" s="39">
        <v>45982</v>
      </c>
      <c r="B103" s="40" t="s">
        <v>16</v>
      </c>
      <c r="C103" s="23" t="str">
        <f>VLOOKUP(D103,物资目录!C:G,2,FALSE)</f>
        <v>垃圾夹</v>
      </c>
      <c r="D103" s="23" t="s">
        <v>28</v>
      </c>
      <c r="E103" s="23" t="str">
        <f>VLOOKUP(D103,物资目录!C:G,3,FALSE)</f>
        <v>把</v>
      </c>
      <c r="F103" s="23" t="str">
        <f>VLOOKUP(D103,物资目录!C:G,4,FALSE)</f>
        <v>道路保洁</v>
      </c>
      <c r="G103" s="23" t="str">
        <f>VLOOKUP(D103,物资目录!C:G,5,FALSE)</f>
        <v>工具类</v>
      </c>
      <c r="H103" s="40">
        <v>1</v>
      </c>
      <c r="I103" s="40" t="s">
        <v>295</v>
      </c>
      <c r="J103" s="40"/>
      <c r="K103" s="40" t="s">
        <v>296</v>
      </c>
      <c r="L103" s="40"/>
      <c r="M103" s="40"/>
      <c r="N103" s="40"/>
    </row>
    <row r="104" customHeight="1" spans="1:14">
      <c r="A104" s="39">
        <v>45982</v>
      </c>
      <c r="B104" s="40" t="s">
        <v>16</v>
      </c>
      <c r="C104" s="23" t="str">
        <f>VLOOKUP(D104,物资目录!C:G,2,FALSE)</f>
        <v>拖把</v>
      </c>
      <c r="D104" s="23" t="s">
        <v>272</v>
      </c>
      <c r="E104" s="23" t="str">
        <f>VLOOKUP(D104,物资目录!C:G,3,FALSE)</f>
        <v>把</v>
      </c>
      <c r="F104" s="23" t="str">
        <f>VLOOKUP(D104,物资目录!C:G,4,FALSE)</f>
        <v>通用物资</v>
      </c>
      <c r="G104" s="23" t="str">
        <f>VLOOKUP(D104,物资目录!C:G,5,FALSE)</f>
        <v>工具类</v>
      </c>
      <c r="H104" s="40">
        <v>1</v>
      </c>
      <c r="I104" s="40" t="s">
        <v>295</v>
      </c>
      <c r="J104" s="40"/>
      <c r="K104" s="40" t="s">
        <v>296</v>
      </c>
      <c r="L104" s="40"/>
      <c r="M104" s="40"/>
      <c r="N104" s="40"/>
    </row>
    <row r="105" customHeight="1" spans="1:14">
      <c r="A105" s="39">
        <v>45982</v>
      </c>
      <c r="B105" s="40" t="s">
        <v>16</v>
      </c>
      <c r="C105" s="23" t="str">
        <f>VLOOKUP(D105,物资目录!C:G,2,FALSE)</f>
        <v>垃圾夹</v>
      </c>
      <c r="D105" s="23" t="s">
        <v>28</v>
      </c>
      <c r="E105" s="23" t="str">
        <f>VLOOKUP(D105,物资目录!C:G,3,FALSE)</f>
        <v>把</v>
      </c>
      <c r="F105" s="23" t="str">
        <f>VLOOKUP(D105,物资目录!C:G,4,FALSE)</f>
        <v>道路保洁</v>
      </c>
      <c r="G105" s="23" t="str">
        <f>VLOOKUP(D105,物资目录!C:G,5,FALSE)</f>
        <v>工具类</v>
      </c>
      <c r="H105" s="40">
        <v>1</v>
      </c>
      <c r="I105" s="40" t="s">
        <v>313</v>
      </c>
      <c r="J105" s="40"/>
      <c r="K105" s="40"/>
      <c r="L105" s="40"/>
      <c r="M105" s="40"/>
      <c r="N105" s="40"/>
    </row>
    <row r="106" customHeight="1" spans="1:14">
      <c r="A106" s="39">
        <v>45982</v>
      </c>
      <c r="B106" s="40" t="s">
        <v>16</v>
      </c>
      <c r="C106" s="23" t="str">
        <f>VLOOKUP(D106,物资目录!C:G,2,FALSE)</f>
        <v>除油片</v>
      </c>
      <c r="D106" s="25" t="s">
        <v>125</v>
      </c>
      <c r="E106" s="23" t="str">
        <f>VLOOKUP(D106,物资目录!C:G,3,FALSE)</f>
        <v>包</v>
      </c>
      <c r="F106" s="23" t="str">
        <f>VLOOKUP(D106,物资目录!C:G,4,FALSE)</f>
        <v>油污整治</v>
      </c>
      <c r="G106" s="23" t="str">
        <f>VLOOKUP(D106,物资目录!C:G,5,FALSE)</f>
        <v>耗材类</v>
      </c>
      <c r="H106" s="40">
        <v>1</v>
      </c>
      <c r="I106" s="40" t="s">
        <v>312</v>
      </c>
      <c r="J106" s="40"/>
      <c r="K106" s="40"/>
      <c r="L106" s="40"/>
      <c r="M106" s="40"/>
      <c r="N106" s="40"/>
    </row>
    <row r="107" customHeight="1" spans="1:14">
      <c r="A107" s="39">
        <v>45985</v>
      </c>
      <c r="B107" s="40" t="s">
        <v>16</v>
      </c>
      <c r="C107" s="23" t="str">
        <f>VLOOKUP(D107,物资目录!C:G,2,FALSE)</f>
        <v>卷纸</v>
      </c>
      <c r="D107" s="23" t="s">
        <v>80</v>
      </c>
      <c r="E107" s="23" t="str">
        <f>VLOOKUP(D107,物资目录!C:G,3,FALSE)</f>
        <v>卷</v>
      </c>
      <c r="F107" s="23" t="str">
        <f>VLOOKUP(D107,物资目录!C:G,4,FALSE)</f>
        <v>公厕保洁</v>
      </c>
      <c r="G107" s="23" t="str">
        <f>VLOOKUP(D107,物资目录!C:G,5,FALSE)</f>
        <v>耗材类</v>
      </c>
      <c r="H107" s="40">
        <v>12</v>
      </c>
      <c r="I107" s="40" t="s">
        <v>295</v>
      </c>
      <c r="J107" s="40"/>
      <c r="K107" s="40" t="s">
        <v>296</v>
      </c>
      <c r="L107" s="40"/>
      <c r="M107" s="40"/>
      <c r="N107" s="40"/>
    </row>
    <row r="108" customHeight="1" spans="1:14">
      <c r="A108" s="39">
        <v>45985</v>
      </c>
      <c r="B108" s="40" t="s">
        <v>16</v>
      </c>
      <c r="C108" s="23" t="str">
        <f>VLOOKUP(D108,物资目录!C:G,2,FALSE)</f>
        <v>垃圾袋</v>
      </c>
      <c r="D108" s="23" t="s">
        <v>40</v>
      </c>
      <c r="E108" s="23" t="str">
        <f>VLOOKUP(D108,物资目录!C:G,3,FALSE)</f>
        <v>个</v>
      </c>
      <c r="F108" s="23" t="str">
        <f>VLOOKUP(D108,物资目录!C:G,4,FALSE)</f>
        <v>道路保洁</v>
      </c>
      <c r="G108" s="23" t="str">
        <f>VLOOKUP(D108,物资目录!C:G,5,FALSE)</f>
        <v>耗材类</v>
      </c>
      <c r="H108" s="40">
        <v>1</v>
      </c>
      <c r="I108" s="40" t="s">
        <v>306</v>
      </c>
      <c r="J108" s="40"/>
      <c r="K108" s="40"/>
      <c r="L108" s="40"/>
      <c r="M108" s="40"/>
      <c r="N108" s="40"/>
    </row>
    <row r="109" customHeight="1" spans="1:14">
      <c r="A109" s="39">
        <v>45986</v>
      </c>
      <c r="B109" s="40" t="s">
        <v>16</v>
      </c>
      <c r="C109" s="23" t="str">
        <f>VLOOKUP(D109,物资目录!C:G,2,FALSE)</f>
        <v>垃圾夹</v>
      </c>
      <c r="D109" s="23" t="s">
        <v>28</v>
      </c>
      <c r="E109" s="23" t="str">
        <f>VLOOKUP(D109,物资目录!C:G,3,FALSE)</f>
        <v>把</v>
      </c>
      <c r="F109" s="23" t="str">
        <f>VLOOKUP(D109,物资目录!C:G,4,FALSE)</f>
        <v>道路保洁</v>
      </c>
      <c r="G109" s="23" t="str">
        <f>VLOOKUP(D109,物资目录!C:G,5,FALSE)</f>
        <v>工具类</v>
      </c>
      <c r="H109" s="40">
        <v>1</v>
      </c>
      <c r="I109" s="40" t="s">
        <v>300</v>
      </c>
      <c r="J109" s="40"/>
      <c r="K109" s="40"/>
      <c r="L109" s="40"/>
      <c r="M109" s="40"/>
      <c r="N109" s="40"/>
    </row>
    <row r="110" customHeight="1" spans="1:14">
      <c r="A110" s="39">
        <v>45986</v>
      </c>
      <c r="B110" s="40" t="s">
        <v>16</v>
      </c>
      <c r="C110" s="23" t="str">
        <f>VLOOKUP(D110,物资目录!C:G,2,FALSE)</f>
        <v>蛇皮袋</v>
      </c>
      <c r="D110" s="23" t="s">
        <v>48</v>
      </c>
      <c r="E110" s="23" t="str">
        <f>VLOOKUP(D110,物资目录!C:G,3,FALSE)</f>
        <v>个</v>
      </c>
      <c r="F110" s="23" t="str">
        <f>VLOOKUP(D110,物资目录!C:G,4,FALSE)</f>
        <v>道路保洁</v>
      </c>
      <c r="G110" s="23" t="str">
        <f>VLOOKUP(D110,物资目录!C:G,5,FALSE)</f>
        <v>耗材类</v>
      </c>
      <c r="H110" s="40">
        <v>2</v>
      </c>
      <c r="I110" s="40" t="s">
        <v>300</v>
      </c>
      <c r="J110" s="40"/>
      <c r="K110" s="40"/>
      <c r="L110" s="40"/>
      <c r="M110" s="40"/>
      <c r="N110" s="40"/>
    </row>
    <row r="111" customHeight="1" spans="1:14">
      <c r="A111" s="39">
        <v>45987</v>
      </c>
      <c r="B111" s="40" t="s">
        <v>16</v>
      </c>
      <c r="C111" s="23" t="str">
        <f>VLOOKUP(D111,物资目录!C:G,2,FALSE)</f>
        <v>保洁冬季工作装</v>
      </c>
      <c r="D111" s="23" t="s">
        <v>133</v>
      </c>
      <c r="E111" s="23" t="str">
        <f>VLOOKUP(D111,物资目录!C:G,3,FALSE)</f>
        <v>套</v>
      </c>
      <c r="F111" s="23" t="str">
        <f>VLOOKUP(D111,物资目录!C:G,4,FALSE)</f>
        <v>工作服装</v>
      </c>
      <c r="G111" s="23" t="str">
        <f>VLOOKUP(D111,物资目录!C:G,5,FALSE)</f>
        <v>服装类</v>
      </c>
      <c r="H111" s="40">
        <v>2</v>
      </c>
      <c r="I111" s="40" t="s">
        <v>306</v>
      </c>
      <c r="J111" s="40"/>
      <c r="K111" s="40"/>
      <c r="L111" s="40"/>
      <c r="M111" s="40"/>
      <c r="N111" s="40"/>
    </row>
    <row r="112" customHeight="1" spans="1:14">
      <c r="A112" s="39">
        <v>45987</v>
      </c>
      <c r="B112" s="40" t="s">
        <v>16</v>
      </c>
      <c r="C112" s="23" t="str">
        <f>VLOOKUP(D112,物资目录!C:G,2,FALSE)</f>
        <v>垃圾夹</v>
      </c>
      <c r="D112" s="23" t="s">
        <v>28</v>
      </c>
      <c r="E112" s="23" t="str">
        <f>VLOOKUP(D112,物资目录!C:G,3,FALSE)</f>
        <v>把</v>
      </c>
      <c r="F112" s="23" t="str">
        <f>VLOOKUP(D112,物资目录!C:G,4,FALSE)</f>
        <v>道路保洁</v>
      </c>
      <c r="G112" s="23" t="str">
        <f>VLOOKUP(D112,物资目录!C:G,5,FALSE)</f>
        <v>工具类</v>
      </c>
      <c r="H112" s="40">
        <v>1</v>
      </c>
      <c r="I112" s="40" t="s">
        <v>307</v>
      </c>
      <c r="J112" s="40"/>
      <c r="K112" s="40"/>
      <c r="L112" s="40"/>
      <c r="M112" s="40"/>
      <c r="N112" s="40"/>
    </row>
    <row r="113" customHeight="1" spans="1:14">
      <c r="A113" s="39">
        <v>45962</v>
      </c>
      <c r="B113" s="40" t="s">
        <v>16</v>
      </c>
      <c r="C113" s="23" t="str">
        <f>VLOOKUP(D113,物资目录!C:G,2,FALSE)</f>
        <v>机械化扫刷</v>
      </c>
      <c r="D113" s="23" t="s">
        <v>86</v>
      </c>
      <c r="E113" s="23" t="str">
        <f>VLOOKUP(D113,物资目录!C:G,3,FALSE)</f>
        <v>把</v>
      </c>
      <c r="F113" s="23" t="str">
        <f>VLOOKUP(D113,物资目录!C:G,4,FALSE)</f>
        <v>机械化保洁</v>
      </c>
      <c r="G113" s="23" t="str">
        <f>VLOOKUP(D113,物资目录!C:G,5,FALSE)</f>
        <v>耗材类</v>
      </c>
      <c r="H113" s="40">
        <v>22</v>
      </c>
      <c r="I113" s="40" t="s">
        <v>314</v>
      </c>
      <c r="J113" s="40"/>
      <c r="K113" s="40"/>
      <c r="L113" s="40"/>
      <c r="M113" s="40"/>
      <c r="N113" s="40"/>
    </row>
    <row r="114" customHeight="1" spans="1:14">
      <c r="A114" s="39">
        <v>45962</v>
      </c>
      <c r="B114" s="40" t="s">
        <v>16</v>
      </c>
      <c r="C114" s="23" t="str">
        <f>VLOOKUP(D114,物资目录!C:G,2,FALSE)</f>
        <v>机械化扫刷</v>
      </c>
      <c r="D114" s="23" t="s">
        <v>84</v>
      </c>
      <c r="E114" s="23" t="str">
        <f>VLOOKUP(D114,物资目录!C:G,3,FALSE)</f>
        <v>把</v>
      </c>
      <c r="F114" s="23" t="str">
        <f>VLOOKUP(D114,物资目录!C:G,4,FALSE)</f>
        <v>机械化保洁</v>
      </c>
      <c r="G114" s="23" t="str">
        <f>VLOOKUP(D114,物资目录!C:G,5,FALSE)</f>
        <v>耗材类</v>
      </c>
      <c r="H114" s="40">
        <v>50</v>
      </c>
      <c r="I114" s="40" t="s">
        <v>314</v>
      </c>
      <c r="J114" s="40"/>
      <c r="K114" s="40"/>
      <c r="L114" s="40"/>
      <c r="M114" s="40"/>
      <c r="N114" s="40"/>
    </row>
    <row r="115" customHeight="1" spans="1:14">
      <c r="A115" s="39">
        <v>45970</v>
      </c>
      <c r="B115" s="40" t="s">
        <v>16</v>
      </c>
      <c r="C115" s="23" t="str">
        <f>VLOOKUP(D115,物资目录!C:G,2,FALSE)</f>
        <v>机械化扫刷</v>
      </c>
      <c r="D115" s="23" t="s">
        <v>84</v>
      </c>
      <c r="E115" s="23" t="str">
        <f>VLOOKUP(D115,物资目录!C:G,3,FALSE)</f>
        <v>把</v>
      </c>
      <c r="F115" s="23" t="str">
        <f>VLOOKUP(D115,物资目录!C:G,4,FALSE)</f>
        <v>机械化保洁</v>
      </c>
      <c r="G115" s="23" t="str">
        <f>VLOOKUP(D115,物资目录!C:G,5,FALSE)</f>
        <v>耗材类</v>
      </c>
      <c r="H115" s="40">
        <v>50</v>
      </c>
      <c r="I115" s="40" t="s">
        <v>314</v>
      </c>
      <c r="J115" s="40"/>
      <c r="K115" s="40"/>
      <c r="L115" s="40"/>
      <c r="M115" s="40"/>
      <c r="N115" s="40"/>
    </row>
    <row r="116" customHeight="1" spans="1:14">
      <c r="A116" s="39">
        <v>45970</v>
      </c>
      <c r="B116" s="40" t="s">
        <v>16</v>
      </c>
      <c r="C116" s="23" t="str">
        <f>VLOOKUP(D116,物资目录!C:G,2,FALSE)</f>
        <v>机械化扫刷</v>
      </c>
      <c r="D116" s="23" t="s">
        <v>86</v>
      </c>
      <c r="E116" s="23" t="str">
        <f>VLOOKUP(D116,物资目录!C:G,3,FALSE)</f>
        <v>把</v>
      </c>
      <c r="F116" s="23" t="str">
        <f>VLOOKUP(D116,物资目录!C:G,4,FALSE)</f>
        <v>机械化保洁</v>
      </c>
      <c r="G116" s="23" t="str">
        <f>VLOOKUP(D116,物资目录!C:G,5,FALSE)</f>
        <v>耗材类</v>
      </c>
      <c r="H116" s="40">
        <v>22</v>
      </c>
      <c r="I116" s="40" t="s">
        <v>314</v>
      </c>
      <c r="J116" s="40"/>
      <c r="K116" s="40"/>
      <c r="L116" s="40"/>
      <c r="M116" s="40"/>
      <c r="N116" s="40"/>
    </row>
    <row r="117" customHeight="1" spans="1:14">
      <c r="A117" s="39">
        <v>45981</v>
      </c>
      <c r="B117" s="40" t="s">
        <v>16</v>
      </c>
      <c r="C117" s="23" t="str">
        <f>VLOOKUP(D117,物资目录!C:G,2,FALSE)</f>
        <v>机械化扫刷</v>
      </c>
      <c r="D117" s="23" t="s">
        <v>84</v>
      </c>
      <c r="E117" s="23" t="str">
        <f>VLOOKUP(D117,物资目录!C:G,3,FALSE)</f>
        <v>把</v>
      </c>
      <c r="F117" s="23" t="str">
        <f>VLOOKUP(D117,物资目录!C:G,4,FALSE)</f>
        <v>机械化保洁</v>
      </c>
      <c r="G117" s="23" t="str">
        <f>VLOOKUP(D117,物资目录!C:G,5,FALSE)</f>
        <v>耗材类</v>
      </c>
      <c r="H117" s="40">
        <v>50</v>
      </c>
      <c r="I117" s="40" t="s">
        <v>314</v>
      </c>
      <c r="J117" s="40"/>
      <c r="K117" s="40"/>
      <c r="L117" s="40"/>
      <c r="M117" s="40"/>
      <c r="N117" s="40"/>
    </row>
    <row r="118" customHeight="1" spans="1:14">
      <c r="A118" s="39">
        <v>45981</v>
      </c>
      <c r="B118" s="40" t="s">
        <v>16</v>
      </c>
      <c r="C118" s="23" t="str">
        <f>VLOOKUP(D118,物资目录!C:G,2,FALSE)</f>
        <v>机械化扫刷</v>
      </c>
      <c r="D118" s="23" t="s">
        <v>86</v>
      </c>
      <c r="E118" s="23" t="str">
        <f>VLOOKUP(D118,物资目录!C:G,3,FALSE)</f>
        <v>把</v>
      </c>
      <c r="F118" s="23" t="str">
        <f>VLOOKUP(D118,物资目录!C:G,4,FALSE)</f>
        <v>机械化保洁</v>
      </c>
      <c r="G118" s="23" t="str">
        <f>VLOOKUP(D118,物资目录!C:G,5,FALSE)</f>
        <v>耗材类</v>
      </c>
      <c r="H118" s="40">
        <v>22</v>
      </c>
      <c r="I118" s="40" t="s">
        <v>314</v>
      </c>
      <c r="J118" s="40"/>
      <c r="K118" s="40"/>
      <c r="L118" s="40"/>
      <c r="M118" s="40"/>
      <c r="N118" s="40"/>
    </row>
    <row r="119" customHeight="1" spans="1:14">
      <c r="A119" s="39">
        <v>45962</v>
      </c>
      <c r="B119" s="40" t="s">
        <v>16</v>
      </c>
      <c r="C119" s="23" t="str">
        <f>VLOOKUP(D119,物资目录!C:G,2,FALSE)</f>
        <v>机械化扫刷</v>
      </c>
      <c r="D119" s="23" t="s">
        <v>86</v>
      </c>
      <c r="E119" s="23" t="str">
        <f>VLOOKUP(D119,物资目录!C:G,3,FALSE)</f>
        <v>把</v>
      </c>
      <c r="F119" s="23" t="str">
        <f>VLOOKUP(D119,物资目录!C:G,4,FALSE)</f>
        <v>机械化保洁</v>
      </c>
      <c r="G119" s="23" t="str">
        <f>VLOOKUP(D119,物资目录!C:G,5,FALSE)</f>
        <v>耗材类</v>
      </c>
      <c r="H119" s="40">
        <v>22</v>
      </c>
      <c r="I119" s="40" t="s">
        <v>315</v>
      </c>
      <c r="J119" s="40"/>
      <c r="K119" s="40"/>
      <c r="L119" s="40"/>
      <c r="M119" s="40"/>
      <c r="N119" s="40"/>
    </row>
    <row r="120" customHeight="1" spans="1:14">
      <c r="A120" s="39">
        <v>45962</v>
      </c>
      <c r="B120" s="40" t="s">
        <v>16</v>
      </c>
      <c r="C120" s="23" t="str">
        <f>VLOOKUP(D120,物资目录!C:G,2,FALSE)</f>
        <v>机械化扫刷</v>
      </c>
      <c r="D120" s="23" t="s">
        <v>84</v>
      </c>
      <c r="E120" s="23" t="str">
        <f>VLOOKUP(D120,物资目录!C:G,3,FALSE)</f>
        <v>把</v>
      </c>
      <c r="F120" s="23" t="str">
        <f>VLOOKUP(D120,物资目录!C:G,4,FALSE)</f>
        <v>机械化保洁</v>
      </c>
      <c r="G120" s="23" t="str">
        <f>VLOOKUP(D120,物资目录!C:G,5,FALSE)</f>
        <v>耗材类</v>
      </c>
      <c r="H120" s="40">
        <v>50</v>
      </c>
      <c r="I120" s="40" t="s">
        <v>315</v>
      </c>
      <c r="J120" s="40"/>
      <c r="K120" s="40"/>
      <c r="L120" s="40"/>
      <c r="M120" s="40"/>
      <c r="N120" s="40"/>
    </row>
    <row r="121" customHeight="1" spans="1:14">
      <c r="A121" s="39">
        <v>45969</v>
      </c>
      <c r="B121" s="40" t="s">
        <v>16</v>
      </c>
      <c r="C121" s="23" t="str">
        <f>VLOOKUP(D121,物资目录!C:G,2,FALSE)</f>
        <v>机械化扫刷</v>
      </c>
      <c r="D121" s="23" t="s">
        <v>84</v>
      </c>
      <c r="E121" s="23" t="str">
        <f>VLOOKUP(D121,物资目录!C:G,3,FALSE)</f>
        <v>把</v>
      </c>
      <c r="F121" s="23" t="str">
        <f>VLOOKUP(D121,物资目录!C:G,4,FALSE)</f>
        <v>机械化保洁</v>
      </c>
      <c r="G121" s="23" t="str">
        <f>VLOOKUP(D121,物资目录!C:G,5,FALSE)</f>
        <v>耗材类</v>
      </c>
      <c r="H121" s="40">
        <v>28</v>
      </c>
      <c r="I121" s="40" t="s">
        <v>315</v>
      </c>
      <c r="J121" s="40"/>
      <c r="K121" s="40"/>
      <c r="L121" s="40"/>
      <c r="M121" s="40"/>
      <c r="N121" s="40"/>
    </row>
    <row r="122" customHeight="1" spans="1:14">
      <c r="A122" s="39">
        <v>45972</v>
      </c>
      <c r="B122" s="40" t="s">
        <v>16</v>
      </c>
      <c r="C122" s="23" t="str">
        <f>VLOOKUP(D122,物资目录!C:G,2,FALSE)</f>
        <v>机械化扫刷</v>
      </c>
      <c r="D122" s="23" t="s">
        <v>86</v>
      </c>
      <c r="E122" s="23" t="str">
        <f>VLOOKUP(D122,物资目录!C:G,3,FALSE)</f>
        <v>把</v>
      </c>
      <c r="F122" s="23" t="str">
        <f>VLOOKUP(D122,物资目录!C:G,4,FALSE)</f>
        <v>机械化保洁</v>
      </c>
      <c r="G122" s="23" t="str">
        <f>VLOOKUP(D122,物资目录!C:G,5,FALSE)</f>
        <v>耗材类</v>
      </c>
      <c r="H122" s="40">
        <v>22</v>
      </c>
      <c r="I122" s="40" t="s">
        <v>315</v>
      </c>
      <c r="J122" s="40"/>
      <c r="K122" s="40"/>
      <c r="L122" s="40"/>
      <c r="M122" s="40"/>
      <c r="N122" s="40"/>
    </row>
    <row r="123" customHeight="1" spans="1:14">
      <c r="A123" s="39">
        <v>45972</v>
      </c>
      <c r="B123" s="40" t="s">
        <v>16</v>
      </c>
      <c r="C123" s="23" t="str">
        <f>VLOOKUP(D123,物资目录!C:G,2,FALSE)</f>
        <v>机械化扫刷</v>
      </c>
      <c r="D123" s="23" t="s">
        <v>84</v>
      </c>
      <c r="E123" s="23" t="str">
        <f>VLOOKUP(D123,物资目录!C:G,3,FALSE)</f>
        <v>把</v>
      </c>
      <c r="F123" s="23" t="str">
        <f>VLOOKUP(D123,物资目录!C:G,4,FALSE)</f>
        <v>机械化保洁</v>
      </c>
      <c r="G123" s="23" t="str">
        <f>VLOOKUP(D123,物资目录!C:G,5,FALSE)</f>
        <v>耗材类</v>
      </c>
      <c r="H123" s="40">
        <v>22</v>
      </c>
      <c r="I123" s="40" t="s">
        <v>315</v>
      </c>
      <c r="J123" s="40"/>
      <c r="K123" s="40"/>
      <c r="L123" s="40"/>
      <c r="M123" s="40"/>
      <c r="N123" s="40"/>
    </row>
    <row r="124" customHeight="1" spans="1:14">
      <c r="A124" s="39">
        <v>45985</v>
      </c>
      <c r="B124" s="40" t="s">
        <v>16</v>
      </c>
      <c r="C124" s="23" t="str">
        <f>VLOOKUP(D124,物资目录!C:G,2,FALSE)</f>
        <v>机械化扫刷</v>
      </c>
      <c r="D124" s="23" t="s">
        <v>86</v>
      </c>
      <c r="E124" s="23" t="str">
        <f>VLOOKUP(D124,物资目录!C:G,3,FALSE)</f>
        <v>把</v>
      </c>
      <c r="F124" s="23" t="str">
        <f>VLOOKUP(D124,物资目录!C:G,4,FALSE)</f>
        <v>机械化保洁</v>
      </c>
      <c r="G124" s="23" t="str">
        <f>VLOOKUP(D124,物资目录!C:G,5,FALSE)</f>
        <v>耗材类</v>
      </c>
      <c r="H124" s="40">
        <v>22</v>
      </c>
      <c r="I124" s="40" t="s">
        <v>315</v>
      </c>
      <c r="J124" s="40"/>
      <c r="K124" s="40"/>
      <c r="L124" s="40"/>
      <c r="M124" s="40"/>
      <c r="N124" s="40"/>
    </row>
    <row r="125" customHeight="1" spans="1:14">
      <c r="A125" s="39">
        <v>45985</v>
      </c>
      <c r="B125" s="40" t="s">
        <v>16</v>
      </c>
      <c r="C125" s="23" t="str">
        <f>VLOOKUP(D125,物资目录!C:G,2,FALSE)</f>
        <v>机械化扫刷</v>
      </c>
      <c r="D125" s="23" t="s">
        <v>84</v>
      </c>
      <c r="E125" s="23" t="str">
        <f>VLOOKUP(D125,物资目录!C:G,3,FALSE)</f>
        <v>把</v>
      </c>
      <c r="F125" s="23" t="str">
        <f>VLOOKUP(D125,物资目录!C:G,4,FALSE)</f>
        <v>机械化保洁</v>
      </c>
      <c r="G125" s="23" t="str">
        <f>VLOOKUP(D125,物资目录!C:G,5,FALSE)</f>
        <v>耗材类</v>
      </c>
      <c r="H125" s="40">
        <v>22</v>
      </c>
      <c r="I125" s="40" t="s">
        <v>315</v>
      </c>
      <c r="J125" s="40"/>
      <c r="K125" s="40"/>
      <c r="L125" s="40"/>
      <c r="M125" s="40"/>
      <c r="N125" s="40"/>
    </row>
    <row r="126" customHeight="1" spans="1:14">
      <c r="A126" s="39">
        <v>45967</v>
      </c>
      <c r="B126" s="40" t="s">
        <v>16</v>
      </c>
      <c r="C126" s="23" t="str">
        <f>VLOOKUP(D126,物资目录!C:G,2,FALSE)</f>
        <v>机械化扫刷</v>
      </c>
      <c r="D126" s="23" t="s">
        <v>84</v>
      </c>
      <c r="E126" s="23" t="str">
        <f>VLOOKUP(D126,物资目录!C:G,3,FALSE)</f>
        <v>把</v>
      </c>
      <c r="F126" s="23" t="str">
        <f>VLOOKUP(D126,物资目录!C:G,4,FALSE)</f>
        <v>机械化保洁</v>
      </c>
      <c r="G126" s="23" t="str">
        <f>VLOOKUP(D126,物资目录!C:G,5,FALSE)</f>
        <v>耗材类</v>
      </c>
      <c r="H126" s="40">
        <v>44</v>
      </c>
      <c r="I126" s="40" t="s">
        <v>316</v>
      </c>
      <c r="J126" s="40"/>
      <c r="K126" s="40"/>
      <c r="L126" s="40"/>
      <c r="M126" s="40"/>
      <c r="N126" s="40"/>
    </row>
    <row r="127" customHeight="1" spans="1:14">
      <c r="A127" s="39">
        <v>45977</v>
      </c>
      <c r="B127" s="40" t="s">
        <v>16</v>
      </c>
      <c r="C127" s="23" t="str">
        <f>VLOOKUP(D127,物资目录!C:G,2,FALSE)</f>
        <v>机械化扫刷</v>
      </c>
      <c r="D127" s="23" t="s">
        <v>84</v>
      </c>
      <c r="E127" s="23" t="str">
        <f>VLOOKUP(D127,物资目录!C:G,3,FALSE)</f>
        <v>把</v>
      </c>
      <c r="F127" s="23" t="str">
        <f>VLOOKUP(D127,物资目录!C:G,4,FALSE)</f>
        <v>机械化保洁</v>
      </c>
      <c r="G127" s="23" t="str">
        <f>VLOOKUP(D127,物资目录!C:G,5,FALSE)</f>
        <v>耗材类</v>
      </c>
      <c r="H127" s="40">
        <v>44</v>
      </c>
      <c r="I127" s="40" t="s">
        <v>316</v>
      </c>
      <c r="J127" s="40"/>
      <c r="K127" s="40"/>
      <c r="L127" s="40"/>
      <c r="M127" s="40"/>
      <c r="N127" s="40"/>
    </row>
    <row r="128" customHeight="1" spans="1:14">
      <c r="A128" s="39">
        <v>45986</v>
      </c>
      <c r="B128" s="40" t="s">
        <v>16</v>
      </c>
      <c r="C128" s="23" t="str">
        <f>VLOOKUP(D128,物资目录!C:G,2,FALSE)</f>
        <v>机械化扫刷</v>
      </c>
      <c r="D128" s="23" t="s">
        <v>84</v>
      </c>
      <c r="E128" s="23" t="str">
        <f>VLOOKUP(D128,物资目录!C:G,3,FALSE)</f>
        <v>把</v>
      </c>
      <c r="F128" s="23" t="str">
        <f>VLOOKUP(D128,物资目录!C:G,4,FALSE)</f>
        <v>机械化保洁</v>
      </c>
      <c r="G128" s="23" t="str">
        <f>VLOOKUP(D128,物资目录!C:G,5,FALSE)</f>
        <v>耗材类</v>
      </c>
      <c r="H128" s="40">
        <v>44</v>
      </c>
      <c r="I128" s="40" t="s">
        <v>316</v>
      </c>
      <c r="J128" s="40"/>
      <c r="K128" s="40"/>
      <c r="L128" s="40"/>
      <c r="M128" s="40"/>
      <c r="N128" s="40"/>
    </row>
    <row r="129" customHeight="1" spans="1:14">
      <c r="A129" s="39">
        <v>45962</v>
      </c>
      <c r="B129" s="40" t="s">
        <v>16</v>
      </c>
      <c r="C129" s="23" t="str">
        <f>VLOOKUP(D129,物资目录!C:G,2,FALSE)</f>
        <v>机械化扫刷</v>
      </c>
      <c r="D129" s="23" t="s">
        <v>84</v>
      </c>
      <c r="E129" s="23" t="str">
        <f>VLOOKUP(D129,物资目录!C:G,3,FALSE)</f>
        <v>把</v>
      </c>
      <c r="F129" s="23" t="str">
        <f>VLOOKUP(D129,物资目录!C:G,4,FALSE)</f>
        <v>机械化保洁</v>
      </c>
      <c r="G129" s="23" t="str">
        <f>VLOOKUP(D129,物资目录!C:G,5,FALSE)</f>
        <v>耗材类</v>
      </c>
      <c r="H129" s="40">
        <v>44</v>
      </c>
      <c r="I129" s="40" t="s">
        <v>317</v>
      </c>
      <c r="J129" s="40"/>
      <c r="K129" s="40"/>
      <c r="L129" s="40"/>
      <c r="M129" s="40"/>
      <c r="N129" s="40"/>
    </row>
    <row r="130" customHeight="1" spans="1:14">
      <c r="A130" s="39">
        <v>45970</v>
      </c>
      <c r="B130" s="40" t="s">
        <v>16</v>
      </c>
      <c r="C130" s="23" t="str">
        <f>VLOOKUP(D130,物资目录!C:G,2,FALSE)</f>
        <v>机械化扫刷</v>
      </c>
      <c r="D130" s="23" t="s">
        <v>84</v>
      </c>
      <c r="E130" s="23" t="str">
        <f>VLOOKUP(D130,物资目录!C:G,3,FALSE)</f>
        <v>把</v>
      </c>
      <c r="F130" s="23" t="str">
        <f>VLOOKUP(D130,物资目录!C:G,4,FALSE)</f>
        <v>机械化保洁</v>
      </c>
      <c r="G130" s="23" t="str">
        <f>VLOOKUP(D130,物资目录!C:G,5,FALSE)</f>
        <v>耗材类</v>
      </c>
      <c r="H130" s="40">
        <v>44</v>
      </c>
      <c r="I130" s="40" t="s">
        <v>317</v>
      </c>
      <c r="J130" s="40"/>
      <c r="K130" s="40"/>
      <c r="L130" s="40"/>
      <c r="M130" s="40"/>
      <c r="N130" s="40"/>
    </row>
    <row r="131" customHeight="1" spans="1:14">
      <c r="A131" s="39">
        <v>45973</v>
      </c>
      <c r="B131" s="40" t="s">
        <v>16</v>
      </c>
      <c r="C131" s="23" t="str">
        <f>VLOOKUP(D131,物资目录!C:G,2,FALSE)</f>
        <v>机械化扫刷</v>
      </c>
      <c r="D131" s="23" t="s">
        <v>84</v>
      </c>
      <c r="E131" s="23" t="str">
        <f>VLOOKUP(D131,物资目录!C:G,3,FALSE)</f>
        <v>把</v>
      </c>
      <c r="F131" s="23" t="str">
        <f>VLOOKUP(D131,物资目录!C:G,4,FALSE)</f>
        <v>机械化保洁</v>
      </c>
      <c r="G131" s="23" t="str">
        <f>VLOOKUP(D131,物资目录!C:G,5,FALSE)</f>
        <v>耗材类</v>
      </c>
      <c r="H131" s="40">
        <v>44</v>
      </c>
      <c r="I131" s="40" t="s">
        <v>317</v>
      </c>
      <c r="J131" s="40"/>
      <c r="K131" s="40"/>
      <c r="L131" s="40"/>
      <c r="M131" s="40"/>
      <c r="N131" s="40"/>
    </row>
    <row r="132" customHeight="1" spans="1:14">
      <c r="A132" s="39">
        <v>45978</v>
      </c>
      <c r="B132" s="40" t="s">
        <v>16</v>
      </c>
      <c r="C132" s="23" t="str">
        <f>VLOOKUP(D132,物资目录!C:G,2,FALSE)</f>
        <v>机械化扫刷</v>
      </c>
      <c r="D132" s="23" t="s">
        <v>84</v>
      </c>
      <c r="E132" s="23" t="str">
        <f>VLOOKUP(D132,物资目录!C:G,3,FALSE)</f>
        <v>把</v>
      </c>
      <c r="F132" s="23" t="str">
        <f>VLOOKUP(D132,物资目录!C:G,4,FALSE)</f>
        <v>机械化保洁</v>
      </c>
      <c r="G132" s="23" t="str">
        <f>VLOOKUP(D132,物资目录!C:G,5,FALSE)</f>
        <v>耗材类</v>
      </c>
      <c r="H132" s="40">
        <v>22</v>
      </c>
      <c r="I132" s="40" t="s">
        <v>317</v>
      </c>
      <c r="J132" s="40"/>
      <c r="K132" s="40"/>
      <c r="L132" s="40"/>
      <c r="M132" s="40"/>
      <c r="N132" s="40"/>
    </row>
    <row r="133" customHeight="1" spans="1:14">
      <c r="A133" s="39">
        <v>45986</v>
      </c>
      <c r="B133" s="40" t="s">
        <v>16</v>
      </c>
      <c r="C133" s="23" t="str">
        <f>VLOOKUP(D133,物资目录!C:G,2,FALSE)</f>
        <v>机械化扫刷</v>
      </c>
      <c r="D133" s="23" t="s">
        <v>84</v>
      </c>
      <c r="E133" s="23" t="str">
        <f>VLOOKUP(D133,物资目录!C:G,3,FALSE)</f>
        <v>把</v>
      </c>
      <c r="F133" s="23" t="str">
        <f>VLOOKUP(D133,物资目录!C:G,4,FALSE)</f>
        <v>机械化保洁</v>
      </c>
      <c r="G133" s="23" t="str">
        <f>VLOOKUP(D133,物资目录!C:G,5,FALSE)</f>
        <v>耗材类</v>
      </c>
      <c r="H133" s="40">
        <v>88</v>
      </c>
      <c r="I133" s="40" t="s">
        <v>317</v>
      </c>
      <c r="J133" s="40"/>
      <c r="K133" s="40"/>
      <c r="L133" s="40"/>
      <c r="M133" s="40"/>
      <c r="N133" s="40"/>
    </row>
    <row r="134" customHeight="1" spans="1:14">
      <c r="A134" s="39">
        <v>45965</v>
      </c>
      <c r="B134" s="40" t="s">
        <v>16</v>
      </c>
      <c r="C134" s="23" t="str">
        <f>VLOOKUP(D134,物资目录!C:G,2,FALSE)</f>
        <v>榕工机扫车扫刷</v>
      </c>
      <c r="D134" s="23" t="s">
        <v>88</v>
      </c>
      <c r="E134" s="23" t="str">
        <f>VLOOKUP(D134,物资目录!C:G,3,FALSE)</f>
        <v>把</v>
      </c>
      <c r="F134" s="23" t="str">
        <f>VLOOKUP(D134,物资目录!C:G,4,FALSE)</f>
        <v>机械化保洁</v>
      </c>
      <c r="G134" s="23" t="str">
        <f>VLOOKUP(D134,物资目录!C:G,5,FALSE)</f>
        <v>耗材类</v>
      </c>
      <c r="H134" s="40">
        <v>2</v>
      </c>
      <c r="I134" s="40" t="s">
        <v>318</v>
      </c>
      <c r="J134" s="40"/>
      <c r="K134" s="40"/>
      <c r="L134" s="40"/>
      <c r="M134" s="40"/>
      <c r="N134" s="40"/>
    </row>
    <row r="135" customHeight="1" spans="1:14">
      <c r="A135" s="39">
        <v>45989</v>
      </c>
      <c r="B135" s="40" t="s">
        <v>8</v>
      </c>
      <c r="C135" s="23" t="str">
        <f>VLOOKUP(D135,物资目录!C:G,2,FALSE)</f>
        <v>84消毒液</v>
      </c>
      <c r="D135" s="23" t="s">
        <v>62</v>
      </c>
      <c r="E135" s="23" t="str">
        <f>VLOOKUP(D135,物资目录!C:G,3,FALSE)</f>
        <v>瓶</v>
      </c>
      <c r="F135" s="23" t="str">
        <f>VLOOKUP(D135,物资目录!C:G,4,FALSE)</f>
        <v>公厕保洁</v>
      </c>
      <c r="G135" s="23" t="str">
        <f>VLOOKUP(D135,物资目录!C:G,5,FALSE)</f>
        <v>耗材类</v>
      </c>
      <c r="H135" s="40">
        <v>30</v>
      </c>
      <c r="I135" s="40"/>
      <c r="J135" s="40"/>
      <c r="K135" s="40"/>
      <c r="L135" s="40" t="s">
        <v>19</v>
      </c>
      <c r="M135" s="40"/>
      <c r="N135" s="40"/>
    </row>
    <row r="136" customHeight="1" spans="1:14">
      <c r="A136" s="39"/>
      <c r="B136" s="40"/>
      <c r="C136" s="23"/>
      <c r="D136" s="23"/>
      <c r="E136" s="23"/>
      <c r="F136" s="23"/>
      <c r="G136" s="23"/>
      <c r="H136" s="40"/>
      <c r="I136" s="40"/>
      <c r="J136" s="40"/>
      <c r="K136" s="40"/>
      <c r="L136" s="40"/>
      <c r="M136" s="40"/>
      <c r="N136" s="40"/>
    </row>
    <row r="137" customHeight="1" spans="1:14">
      <c r="A137" s="39"/>
      <c r="B137" s="40"/>
      <c r="C137" s="23"/>
      <c r="D137" s="23"/>
      <c r="E137" s="23"/>
      <c r="F137" s="23"/>
      <c r="G137" s="23"/>
      <c r="H137" s="40"/>
      <c r="I137" s="40"/>
      <c r="J137" s="40"/>
      <c r="K137" s="40"/>
      <c r="L137" s="40"/>
      <c r="M137" s="40"/>
      <c r="N137" s="40"/>
    </row>
    <row r="138" customHeight="1" spans="1:14">
      <c r="A138" s="39"/>
      <c r="B138" s="40"/>
      <c r="C138" s="23"/>
      <c r="D138" s="23"/>
      <c r="E138" s="23"/>
      <c r="F138" s="23"/>
      <c r="G138" s="23"/>
      <c r="H138" s="40"/>
      <c r="I138" s="40"/>
      <c r="J138" s="40"/>
      <c r="K138" s="40"/>
      <c r="L138" s="40"/>
      <c r="M138" s="40"/>
      <c r="N138" s="40"/>
    </row>
    <row r="139" customHeight="1" spans="1:14">
      <c r="A139" s="39"/>
      <c r="B139" s="40"/>
      <c r="C139" s="23"/>
      <c r="D139" s="23"/>
      <c r="E139" s="23"/>
      <c r="F139" s="23"/>
      <c r="G139" s="23"/>
      <c r="H139" s="40"/>
      <c r="I139" s="40"/>
      <c r="J139" s="40"/>
      <c r="K139" s="40"/>
      <c r="L139" s="40"/>
      <c r="M139" s="40"/>
      <c r="N139" s="40"/>
    </row>
    <row r="140" customHeight="1" spans="1:14">
      <c r="A140" s="39"/>
      <c r="B140" s="40"/>
      <c r="C140" s="23"/>
      <c r="D140" s="23"/>
      <c r="E140" s="23"/>
      <c r="F140" s="23"/>
      <c r="G140" s="23"/>
      <c r="H140" s="40"/>
      <c r="I140" s="40"/>
      <c r="J140" s="40"/>
      <c r="K140" s="40"/>
      <c r="L140" s="40"/>
      <c r="M140" s="40"/>
      <c r="N140" s="40"/>
    </row>
    <row r="141" customHeight="1" spans="1:14">
      <c r="A141" s="39"/>
      <c r="B141" s="40"/>
      <c r="C141" s="23"/>
      <c r="D141" s="23"/>
      <c r="E141" s="23"/>
      <c r="F141" s="23"/>
      <c r="G141" s="23"/>
      <c r="H141" s="40"/>
      <c r="I141" s="40"/>
      <c r="J141" s="40"/>
      <c r="K141" s="40"/>
      <c r="L141" s="40"/>
      <c r="M141" s="40"/>
      <c r="N141" s="40"/>
    </row>
    <row r="142" customHeight="1" spans="1:14">
      <c r="A142" s="39"/>
      <c r="B142" s="40"/>
      <c r="C142" s="23"/>
      <c r="D142" s="23"/>
      <c r="E142" s="23"/>
      <c r="F142" s="23"/>
      <c r="G142" s="23"/>
      <c r="H142" s="40"/>
      <c r="I142" s="40"/>
      <c r="J142" s="40"/>
      <c r="K142" s="40"/>
      <c r="L142" s="40"/>
      <c r="M142" s="40"/>
      <c r="N142" s="40"/>
    </row>
  </sheetData>
  <autoFilter xmlns:etc="http://www.wps.cn/officeDocument/2017/etCustomData" ref="A2:O142" etc:filterBottomFollowUsedRange="0">
    <extLst/>
  </autoFilter>
  <mergeCells count="1">
    <mergeCell ref="A1:N1"/>
  </mergeCells>
  <dataValidations count="5">
    <dataValidation allowBlank="1" showInputMessage="1" showErrorMessage="1" sqref="C135 E135:G135 C1:C134 C136:C1048576 E3:G134 E136:G142"/>
    <dataValidation type="list" allowBlank="1" showInputMessage="1" showErrorMessage="1" sqref="B3:B1048576">
      <formula1>物资目录!$A$2:$A$5</formula1>
    </dataValidation>
    <dataValidation type="list" allowBlank="1" showInputMessage="1" showErrorMessage="1" sqref="D1:D2 D143:D1048576">
      <formula1>物资目录!$C:$C</formula1>
    </dataValidation>
    <dataValidation type="list" allowBlank="1" showInputMessage="1" showErrorMessage="1" sqref="L$1:L$1048576">
      <formula1>物资目录!$J:$J</formula1>
    </dataValidation>
    <dataValidation type="list" allowBlank="1" showInputMessage="1" showErrorMessage="1" sqref="M$1:M$1048576">
      <formula1>物资目录!$I$2:$I$6</formula1>
    </dataValidation>
  </dataValidations>
  <printOptions gridLines="1"/>
  <pageMargins left="0.196527777777778" right="0.236111111111111" top="0.75" bottom="0.75" header="0.3" footer="0.3"/>
  <pageSetup paperSize="9" scale="8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9"/>
  <sheetViews>
    <sheetView zoomScale="85" zoomScaleNormal="85" workbookViewId="0">
      <pane xSplit="4" ySplit="3" topLeftCell="E14" activePane="bottomRight" state="frozen"/>
      <selection/>
      <selection pane="topRight"/>
      <selection pane="bottomLeft"/>
      <selection pane="bottomRight" activeCell="C25" sqref="C25"/>
    </sheetView>
  </sheetViews>
  <sheetFormatPr defaultColWidth="15.6333333333333" defaultRowHeight="20" customHeight="1"/>
  <cols>
    <col min="1" max="1" width="6.25" style="8" customWidth="1"/>
    <col min="2" max="2" width="22.75" style="9" customWidth="1"/>
    <col min="3" max="3" width="25.8833333333333" style="10" customWidth="1"/>
    <col min="4" max="4" width="9.88333333333333" style="8" customWidth="1"/>
    <col min="5" max="7" width="17.1333333333333" style="8" customWidth="1"/>
    <col min="8" max="8" width="22.5" style="8" customWidth="1"/>
    <col min="9" max="11" width="23.25" style="8" customWidth="1"/>
    <col min="12" max="16379" width="15.6333333333333" style="8" customWidth="1"/>
    <col min="16380" max="16384" width="15.6333333333333" style="8"/>
  </cols>
  <sheetData>
    <row r="1" s="5" customFormat="1" customHeight="1" spans="1:11">
      <c r="A1" s="11" t="s">
        <v>319</v>
      </c>
      <c r="B1" s="12"/>
      <c r="C1" s="13"/>
      <c r="D1" s="13"/>
      <c r="E1" s="13"/>
      <c r="F1" s="13"/>
      <c r="G1" s="13"/>
      <c r="H1" s="13"/>
      <c r="I1" s="14" t="s">
        <v>320</v>
      </c>
      <c r="J1" s="15"/>
      <c r="K1" s="15"/>
    </row>
    <row r="2" s="6" customFormat="1" ht="35" customHeight="1" spans="1:11">
      <c r="A2" s="16" t="s">
        <v>321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8" t="s">
        <v>322</v>
      </c>
      <c r="H2" s="19" t="s">
        <v>323</v>
      </c>
      <c r="I2" s="19" t="s">
        <v>324</v>
      </c>
      <c r="J2" s="20" t="s">
        <v>325</v>
      </c>
      <c r="K2" s="16" t="s">
        <v>326</v>
      </c>
    </row>
    <row r="3" s="7" customFormat="1" customHeight="1" spans="1:11">
      <c r="A3" s="21">
        <f>ROW()-2</f>
        <v>1</v>
      </c>
      <c r="B3" s="22" t="s">
        <v>9</v>
      </c>
      <c r="C3" s="23" t="s">
        <v>10</v>
      </c>
      <c r="D3" s="23" t="s">
        <v>11</v>
      </c>
      <c r="E3" s="23" t="s">
        <v>12</v>
      </c>
      <c r="F3" s="23" t="s">
        <v>13</v>
      </c>
      <c r="G3" s="21">
        <v>0</v>
      </c>
      <c r="H3" s="21">
        <f>SUMIFS('表1- 本月物资进出明细账'!H:H,'表1- 本月物资进出明细账'!B:B,"入库",'表1- 本月物资进出明细账'!C:C,B:B,'表1- 本月物资进出明细账'!D:D,C:C)</f>
        <v>0</v>
      </c>
      <c r="I3" s="21">
        <f>SUMIFS('表1- 本月物资进出明细账'!H:H,'表1- 本月物资进出明细账'!B:B,"出库",'表1- 本月物资进出明细账'!C:C,B:B,'表1- 本月物资进出明细账'!D:D,C:C)</f>
        <v>0</v>
      </c>
      <c r="J3" s="24">
        <f t="shared" ref="J3:J66" si="0">G3+H3-I3</f>
        <v>0</v>
      </c>
      <c r="K3" s="21"/>
    </row>
    <row r="4" customHeight="1" spans="1:11">
      <c r="A4" s="21">
        <f t="shared" ref="A4:A67" si="1">ROW()-2</f>
        <v>2</v>
      </c>
      <c r="B4" s="22" t="s">
        <v>9</v>
      </c>
      <c r="C4" s="23" t="s">
        <v>17</v>
      </c>
      <c r="D4" s="23" t="s">
        <v>11</v>
      </c>
      <c r="E4" s="23" t="s">
        <v>12</v>
      </c>
      <c r="F4" s="23" t="s">
        <v>13</v>
      </c>
      <c r="G4" s="21">
        <v>9</v>
      </c>
      <c r="H4" s="21">
        <f>SUMIFS('表1- 本月物资进出明细账'!H:H,'表1- 本月物资进出明细账'!B:B,"入库",'表1- 本月物资进出明细账'!C:C,B:B,'表1- 本月物资进出明细账'!D:D,C:C)</f>
        <v>0</v>
      </c>
      <c r="I4" s="21">
        <f>SUMIFS('表1- 本月物资进出明细账'!H:H,'表1- 本月物资进出明细账'!B:B,"出库",'表1- 本月物资进出明细账'!C:C,B:B,'表1- 本月物资进出明细账'!D:D,C:C)</f>
        <v>1</v>
      </c>
      <c r="J4" s="24">
        <f t="shared" si="0"/>
        <v>8</v>
      </c>
      <c r="K4" s="21"/>
    </row>
    <row r="5" customHeight="1" spans="1:11">
      <c r="A5" s="21">
        <f t="shared" si="1"/>
        <v>3</v>
      </c>
      <c r="B5" s="22" t="s">
        <v>20</v>
      </c>
      <c r="C5" s="23" t="s">
        <v>21</v>
      </c>
      <c r="D5" s="23" t="s">
        <v>22</v>
      </c>
      <c r="E5" s="23" t="s">
        <v>12</v>
      </c>
      <c r="F5" s="23" t="s">
        <v>13</v>
      </c>
      <c r="G5" s="21">
        <v>216</v>
      </c>
      <c r="H5" s="21">
        <f>SUMIFS('表1- 本月物资进出明细账'!H:H,'表1- 本月物资进出明细账'!B:B,"入库",'表1- 本月物资进出明细账'!C:C,B:B,'表1- 本月物资进出明细账'!D:D,C:C)</f>
        <v>0</v>
      </c>
      <c r="I5" s="21">
        <f>SUMIFS('表1- 本月物资进出明细账'!H:H,'表1- 本月物资进出明细账'!B:B,"出库",'表1- 本月物资进出明细账'!C:C,B:B,'表1- 本月物资进出明细账'!D:D,C:C)</f>
        <v>74</v>
      </c>
      <c r="J5" s="24">
        <f t="shared" si="0"/>
        <v>142</v>
      </c>
      <c r="K5" s="21"/>
    </row>
    <row r="6" customHeight="1" spans="1:11">
      <c r="A6" s="21">
        <f t="shared" si="1"/>
        <v>4</v>
      </c>
      <c r="B6" s="23" t="s">
        <v>20</v>
      </c>
      <c r="C6" s="23" t="s">
        <v>24</v>
      </c>
      <c r="D6" s="23" t="s">
        <v>22</v>
      </c>
      <c r="E6" s="23" t="s">
        <v>12</v>
      </c>
      <c r="F6" s="23" t="s">
        <v>13</v>
      </c>
      <c r="G6" s="21">
        <v>0</v>
      </c>
      <c r="H6" s="21">
        <f>SUMIFS('表1- 本月物资进出明细账'!H:H,'表1- 本月物资进出明细账'!B:B,"入库",'表1- 本月物资进出明细账'!C:C,B:B,'表1- 本月物资进出明细账'!D:D,C:C)</f>
        <v>60</v>
      </c>
      <c r="I6" s="21">
        <f>SUMIFS('表1- 本月物资进出明细账'!H:H,'表1- 本月物资进出明细账'!B:B,"出库",'表1- 本月物资进出明细账'!C:C,B:B,'表1- 本月物资进出明细账'!D:D,C:C)</f>
        <v>0</v>
      </c>
      <c r="J6" s="21">
        <f t="shared" si="0"/>
        <v>60</v>
      </c>
      <c r="K6" s="21"/>
    </row>
    <row r="7" customHeight="1" spans="1:11">
      <c r="A7" s="21">
        <f t="shared" si="1"/>
        <v>5</v>
      </c>
      <c r="B7" s="22" t="s">
        <v>27</v>
      </c>
      <c r="C7" s="23" t="s">
        <v>28</v>
      </c>
      <c r="D7" s="23" t="s">
        <v>22</v>
      </c>
      <c r="E7" s="23" t="s">
        <v>12</v>
      </c>
      <c r="F7" s="23" t="s">
        <v>13</v>
      </c>
      <c r="G7" s="21">
        <v>56</v>
      </c>
      <c r="H7" s="21">
        <f>SUMIFS('表1- 本月物资进出明细账'!H:H,'表1- 本月物资进出明细账'!B:B,"入库",'表1- 本月物资进出明细账'!C:C,B:B,'表1- 本月物资进出明细账'!D:D,C:C)</f>
        <v>0</v>
      </c>
      <c r="I7" s="21">
        <f>SUMIFS('表1- 本月物资进出明细账'!H:H,'表1- 本月物资进出明细账'!B:B,"出库",'表1- 本月物资进出明细账'!C:C,B:B,'表1- 本月物资进出明细账'!D:D,C:C)</f>
        <v>12</v>
      </c>
      <c r="J7" s="24">
        <f t="shared" si="0"/>
        <v>44</v>
      </c>
      <c r="K7" s="21"/>
    </row>
    <row r="8" customHeight="1" spans="1:11">
      <c r="A8" s="21">
        <f t="shared" si="1"/>
        <v>6</v>
      </c>
      <c r="B8" s="23" t="s">
        <v>29</v>
      </c>
      <c r="C8" s="23" t="s">
        <v>30</v>
      </c>
      <c r="D8" s="23" t="s">
        <v>31</v>
      </c>
      <c r="E8" s="23" t="s">
        <v>12</v>
      </c>
      <c r="F8" s="23" t="s">
        <v>13</v>
      </c>
      <c r="G8" s="21">
        <v>0</v>
      </c>
      <c r="H8" s="21">
        <f>SUMIFS('表1- 本月物资进出明细账'!H:H,'表1- 本月物资进出明细账'!B:B,"入库",'表1- 本月物资进出明细账'!C:C,B:B,'表1- 本月物资进出明细账'!D:D,C:C)</f>
        <v>0</v>
      </c>
      <c r="I8" s="21">
        <f>SUMIFS('表1- 本月物资进出明细账'!H:H,'表1- 本月物资进出明细账'!B:B,"出库",'表1- 本月物资进出明细账'!C:C,B:B,'表1- 本月物资进出明细账'!D:D,C:C)</f>
        <v>0</v>
      </c>
      <c r="J8" s="21">
        <f t="shared" si="0"/>
        <v>0</v>
      </c>
      <c r="K8" s="21"/>
    </row>
    <row r="9" customHeight="1" spans="1:11">
      <c r="A9" s="21">
        <f t="shared" si="1"/>
        <v>7</v>
      </c>
      <c r="B9" s="22" t="s">
        <v>29</v>
      </c>
      <c r="C9" s="23" t="s">
        <v>32</v>
      </c>
      <c r="D9" s="23" t="s">
        <v>31</v>
      </c>
      <c r="E9" s="23" t="s">
        <v>12</v>
      </c>
      <c r="F9" s="23" t="s">
        <v>13</v>
      </c>
      <c r="G9" s="21">
        <v>315</v>
      </c>
      <c r="H9" s="21">
        <f>SUMIFS('表1- 本月物资进出明细账'!H:H,'表1- 本月物资进出明细账'!B:B,"入库",'表1- 本月物资进出明细账'!C:C,B:B,'表1- 本月物资进出明细账'!D:D,C:C)</f>
        <v>0</v>
      </c>
      <c r="I9" s="21">
        <f>SUMIFS('表1- 本月物资进出明细账'!H:H,'表1- 本月物资进出明细账'!B:B,"出库",'表1- 本月物资进出明细账'!C:C,B:B,'表1- 本月物资进出明细账'!D:D,C:C)</f>
        <v>114</v>
      </c>
      <c r="J9" s="24">
        <f t="shared" si="0"/>
        <v>201</v>
      </c>
      <c r="K9" s="21"/>
    </row>
    <row r="10" s="7" customFormat="1" customHeight="1" spans="1:11">
      <c r="A10" s="21">
        <f t="shared" si="1"/>
        <v>8</v>
      </c>
      <c r="B10" s="22" t="s">
        <v>33</v>
      </c>
      <c r="C10" s="23" t="s">
        <v>34</v>
      </c>
      <c r="D10" s="23" t="s">
        <v>22</v>
      </c>
      <c r="E10" s="23" t="s">
        <v>12</v>
      </c>
      <c r="F10" s="23" t="s">
        <v>13</v>
      </c>
      <c r="G10" s="21">
        <v>21</v>
      </c>
      <c r="H10" s="21">
        <f>SUMIFS('表1- 本月物资进出明细账'!H:H,'表1- 本月物资进出明细账'!B:B,"入库",'表1- 本月物资进出明细账'!C:C,B:B,'表1- 本月物资进出明细账'!D:D,C:C)</f>
        <v>0</v>
      </c>
      <c r="I10" s="21">
        <f>SUMIFS('表1- 本月物资进出明细账'!H:H,'表1- 本月物资进出明细账'!B:B,"出库",'表1- 本月物资进出明细账'!C:C,B:B,'表1- 本月物资进出明细账'!D:D,C:C)</f>
        <v>0</v>
      </c>
      <c r="J10" s="24">
        <f t="shared" si="0"/>
        <v>21</v>
      </c>
      <c r="K10" s="21"/>
    </row>
    <row r="11" s="7" customFormat="1" customHeight="1" spans="1:11">
      <c r="A11" s="21">
        <f t="shared" si="1"/>
        <v>9</v>
      </c>
      <c r="B11" s="23" t="s">
        <v>33</v>
      </c>
      <c r="C11" s="23" t="s">
        <v>35</v>
      </c>
      <c r="D11" s="23" t="s">
        <v>22</v>
      </c>
      <c r="E11" s="23" t="s">
        <v>12</v>
      </c>
      <c r="F11" s="23" t="s">
        <v>13</v>
      </c>
      <c r="G11" s="21">
        <v>0</v>
      </c>
      <c r="H11" s="21">
        <f>SUMIFS('表1- 本月物资进出明细账'!H:H,'表1- 本月物资进出明细账'!B:B,"入库",'表1- 本月物资进出明细账'!C:C,B:B,'表1- 本月物资进出明细账'!D:D,C:C)</f>
        <v>0</v>
      </c>
      <c r="I11" s="21">
        <f>SUMIFS('表1- 本月物资进出明细账'!H:H,'表1- 本月物资进出明细账'!B:B,"出库",'表1- 本月物资进出明细账'!C:C,B:B,'表1- 本月物资进出明细账'!D:D,C:C)</f>
        <v>0</v>
      </c>
      <c r="J11" s="21">
        <f t="shared" si="0"/>
        <v>0</v>
      </c>
      <c r="K11" s="21"/>
    </row>
    <row r="12" customHeight="1" spans="1:11">
      <c r="A12" s="21">
        <f t="shared" si="1"/>
        <v>10</v>
      </c>
      <c r="B12" s="22" t="s">
        <v>36</v>
      </c>
      <c r="C12" s="23" t="s">
        <v>37</v>
      </c>
      <c r="D12" s="23" t="s">
        <v>22</v>
      </c>
      <c r="E12" s="23" t="s">
        <v>12</v>
      </c>
      <c r="F12" s="23" t="s">
        <v>13</v>
      </c>
      <c r="G12" s="21">
        <v>4</v>
      </c>
      <c r="H12" s="21">
        <f>SUMIFS('表1- 本月物资进出明细账'!H:H,'表1- 本月物资进出明细账'!B:B,"入库",'表1- 本月物资进出明细账'!C:C,B:B,'表1- 本月物资进出明细账'!D:D,C:C)</f>
        <v>0</v>
      </c>
      <c r="I12" s="21">
        <f>SUMIFS('表1- 本月物资进出明细账'!H:H,'表1- 本月物资进出明细账'!B:B,"出库",'表1- 本月物资进出明细账'!C:C,B:B,'表1- 本月物资进出明细账'!D:D,C:C)</f>
        <v>1</v>
      </c>
      <c r="J12" s="24">
        <f t="shared" si="0"/>
        <v>3</v>
      </c>
      <c r="K12" s="21"/>
    </row>
    <row r="13" customHeight="1" spans="1:11">
      <c r="A13" s="21">
        <f t="shared" si="1"/>
        <v>11</v>
      </c>
      <c r="B13" s="23" t="s">
        <v>36</v>
      </c>
      <c r="C13" s="23" t="s">
        <v>38</v>
      </c>
      <c r="D13" s="23" t="s">
        <v>22</v>
      </c>
      <c r="E13" s="23" t="s">
        <v>12</v>
      </c>
      <c r="F13" s="23" t="s">
        <v>13</v>
      </c>
      <c r="G13" s="21">
        <v>0</v>
      </c>
      <c r="H13" s="21">
        <f>SUMIFS('表1- 本月物资进出明细账'!H:H,'表1- 本月物资进出明细账'!B:B,"入库",'表1- 本月物资进出明细账'!C:C,B:B,'表1- 本月物资进出明细账'!D:D,C:C)</f>
        <v>0</v>
      </c>
      <c r="I13" s="21">
        <f>SUMIFS('表1- 本月物资进出明细账'!H:H,'表1- 本月物资进出明细账'!B:B,"出库",'表1- 本月物资进出明细账'!C:C,B:B,'表1- 本月物资进出明细账'!D:D,C:C)</f>
        <v>0</v>
      </c>
      <c r="J13" s="21">
        <f t="shared" si="0"/>
        <v>0</v>
      </c>
      <c r="K13" s="21"/>
    </row>
    <row r="14" customHeight="1" spans="1:11">
      <c r="A14" s="21">
        <f t="shared" si="1"/>
        <v>12</v>
      </c>
      <c r="B14" s="22" t="s">
        <v>39</v>
      </c>
      <c r="C14" s="23" t="s">
        <v>40</v>
      </c>
      <c r="D14" s="23" t="s">
        <v>11</v>
      </c>
      <c r="E14" s="23" t="s">
        <v>12</v>
      </c>
      <c r="F14" s="23" t="s">
        <v>41</v>
      </c>
      <c r="G14" s="21">
        <v>5.5</v>
      </c>
      <c r="H14" s="21">
        <f>SUMIFS('表1- 本月物资进出明细账'!H:H,'表1- 本月物资进出明细账'!B:B,"入库",'表1- 本月物资进出明细账'!C:C,B:B,'表1- 本月物资进出明细账'!D:D,C:C)</f>
        <v>0</v>
      </c>
      <c r="I14" s="21">
        <f>SUMIFS('表1- 本月物资进出明细账'!H:H,'表1- 本月物资进出明细账'!B:B,"出库",'表1- 本月物资进出明细账'!C:C,B:B,'表1- 本月物资进出明细账'!D:D,C:C)</f>
        <v>1</v>
      </c>
      <c r="J14" s="24">
        <f t="shared" si="0"/>
        <v>4.5</v>
      </c>
      <c r="K14" s="21"/>
    </row>
    <row r="15" customHeight="1" spans="1:11">
      <c r="A15" s="21">
        <f t="shared" si="1"/>
        <v>13</v>
      </c>
      <c r="B15" s="22" t="s">
        <v>39</v>
      </c>
      <c r="C15" s="23" t="s">
        <v>42</v>
      </c>
      <c r="D15" s="23" t="s">
        <v>43</v>
      </c>
      <c r="E15" s="23" t="s">
        <v>12</v>
      </c>
      <c r="F15" s="23" t="s">
        <v>41</v>
      </c>
      <c r="G15" s="21">
        <v>168</v>
      </c>
      <c r="H15" s="21">
        <f>SUMIFS('表1- 本月物资进出明细账'!H:H,'表1- 本月物资进出明细账'!B:B,"入库",'表1- 本月物资进出明细账'!C:C,B:B,'表1- 本月物资进出明细账'!D:D,C:C)</f>
        <v>0</v>
      </c>
      <c r="I15" s="21">
        <f>SUMIFS('表1- 本月物资进出明细账'!H:H,'表1- 本月物资进出明细账'!B:B,"出库",'表1- 本月物资进出明细账'!C:C,B:B,'表1- 本月物资进出明细账'!D:D,C:C)</f>
        <v>1</v>
      </c>
      <c r="J15" s="24">
        <f t="shared" si="0"/>
        <v>167</v>
      </c>
      <c r="K15" s="21"/>
    </row>
    <row r="16" customHeight="1" spans="1:11">
      <c r="A16" s="21">
        <f t="shared" si="1"/>
        <v>14</v>
      </c>
      <c r="B16" s="23" t="s">
        <v>44</v>
      </c>
      <c r="C16" s="23" t="s">
        <v>45</v>
      </c>
      <c r="D16" s="23" t="s">
        <v>11</v>
      </c>
      <c r="E16" s="23" t="s">
        <v>12</v>
      </c>
      <c r="F16" s="23" t="s">
        <v>41</v>
      </c>
      <c r="G16" s="21">
        <v>0</v>
      </c>
      <c r="H16" s="21">
        <f>SUMIFS('表1- 本月物资进出明细账'!H:H,'表1- 本月物资进出明细账'!B:B,"入库",'表1- 本月物资进出明细账'!C:C,B:B,'表1- 本月物资进出明细账'!D:D,C:C)</f>
        <v>0</v>
      </c>
      <c r="I16" s="21">
        <f>SUMIFS('表1- 本月物资进出明细账'!H:H,'表1- 本月物资进出明细账'!B:B,"出库",'表1- 本月物资进出明细账'!C:C,B:B,'表1- 本月物资进出明细账'!D:D,C:C)</f>
        <v>0</v>
      </c>
      <c r="J16" s="21">
        <f t="shared" si="0"/>
        <v>0</v>
      </c>
      <c r="K16" s="21"/>
    </row>
    <row r="17" customHeight="1" spans="1:11">
      <c r="A17" s="21">
        <f t="shared" si="1"/>
        <v>15</v>
      </c>
      <c r="B17" s="23" t="s">
        <v>46</v>
      </c>
      <c r="C17" s="23" t="s">
        <v>47</v>
      </c>
      <c r="D17" s="23" t="s">
        <v>11</v>
      </c>
      <c r="E17" s="23" t="s">
        <v>12</v>
      </c>
      <c r="F17" s="23" t="s">
        <v>41</v>
      </c>
      <c r="G17" s="21">
        <v>0</v>
      </c>
      <c r="H17" s="21">
        <f>SUMIFS('表1- 本月物资进出明细账'!H:H,'表1- 本月物资进出明细账'!B:B,"入库",'表1- 本月物资进出明细账'!C:C,B:B,'表1- 本月物资进出明细账'!D:D,C:C)</f>
        <v>0</v>
      </c>
      <c r="I17" s="21">
        <f>SUMIFS('表1- 本月物资进出明细账'!H:H,'表1- 本月物资进出明细账'!B:B,"出库",'表1- 本月物资进出明细账'!C:C,B:B,'表1- 本月物资进出明细账'!D:D,C:C)</f>
        <v>0</v>
      </c>
      <c r="J17" s="21">
        <f t="shared" si="0"/>
        <v>0</v>
      </c>
      <c r="K17" s="21"/>
    </row>
    <row r="18" s="7" customFormat="1" customHeight="1" spans="1:11">
      <c r="A18" s="21">
        <f t="shared" si="1"/>
        <v>16</v>
      </c>
      <c r="B18" s="22" t="s">
        <v>46</v>
      </c>
      <c r="C18" s="23" t="s">
        <v>48</v>
      </c>
      <c r="D18" s="23" t="s">
        <v>11</v>
      </c>
      <c r="E18" s="23" t="s">
        <v>12</v>
      </c>
      <c r="F18" s="23" t="s">
        <v>41</v>
      </c>
      <c r="G18" s="21">
        <v>130</v>
      </c>
      <c r="H18" s="21">
        <f>SUMIFS('表1- 本月物资进出明细账'!H:H,'表1- 本月物资进出明细账'!B:B,"入库",'表1- 本月物资进出明细账'!C:C,B:B,'表1- 本月物资进出明细账'!D:D,C:C)</f>
        <v>0</v>
      </c>
      <c r="I18" s="21">
        <f>SUMIFS('表1- 本月物资进出明细账'!H:H,'表1- 本月物资进出明细账'!B:B,"出库",'表1- 本月物资进出明细账'!C:C,B:B,'表1- 本月物资进出明细账'!D:D,C:C)</f>
        <v>6</v>
      </c>
      <c r="J18" s="24">
        <f t="shared" si="0"/>
        <v>124</v>
      </c>
      <c r="K18" s="21"/>
    </row>
    <row r="19" s="7" customFormat="1" customHeight="1" spans="1:11">
      <c r="A19" s="21">
        <f t="shared" si="1"/>
        <v>17</v>
      </c>
      <c r="B19" s="22" t="s">
        <v>49</v>
      </c>
      <c r="C19" s="23" t="s">
        <v>50</v>
      </c>
      <c r="D19" s="23" t="s">
        <v>51</v>
      </c>
      <c r="E19" s="23" t="s">
        <v>12</v>
      </c>
      <c r="F19" s="23" t="s">
        <v>41</v>
      </c>
      <c r="G19" s="21">
        <v>13</v>
      </c>
      <c r="H19" s="21">
        <f>SUMIFS('表1- 本月物资进出明细账'!H:H,'表1- 本月物资进出明细账'!B:B,"入库",'表1- 本月物资进出明细账'!C:C,B:B,'表1- 本月物资进出明细账'!D:D,C:C)</f>
        <v>0</v>
      </c>
      <c r="I19" s="21">
        <f>SUMIFS('表1- 本月物资进出明细账'!H:H,'表1- 本月物资进出明细账'!B:B,"出库",'表1- 本月物资进出明细账'!C:C,B:B,'表1- 本月物资进出明细账'!D:D,C:C)</f>
        <v>0</v>
      </c>
      <c r="J19" s="24">
        <f t="shared" si="0"/>
        <v>13</v>
      </c>
      <c r="K19" s="21"/>
    </row>
    <row r="20" customHeight="1" spans="1:11">
      <c r="A20" s="21">
        <f t="shared" si="1"/>
        <v>18</v>
      </c>
      <c r="B20" s="22" t="s">
        <v>52</v>
      </c>
      <c r="C20" s="23" t="s">
        <v>53</v>
      </c>
      <c r="D20" s="23" t="s">
        <v>22</v>
      </c>
      <c r="E20" s="23" t="s">
        <v>54</v>
      </c>
      <c r="F20" s="23" t="s">
        <v>13</v>
      </c>
      <c r="G20" s="21">
        <v>9</v>
      </c>
      <c r="H20" s="21">
        <f>SUMIFS('表1- 本月物资进出明细账'!H:H,'表1- 本月物资进出明细账'!B:B,"入库",'表1- 本月物资进出明细账'!C:C,B:B,'表1- 本月物资进出明细账'!D:D,C:C)</f>
        <v>0</v>
      </c>
      <c r="I20" s="21">
        <f>SUMIFS('表1- 本月物资进出明细账'!H:H,'表1- 本月物资进出明细账'!B:B,"出库",'表1- 本月物资进出明细账'!C:C,B:B,'表1- 本月物资进出明细账'!D:D,C:C)</f>
        <v>0</v>
      </c>
      <c r="J20" s="24">
        <f t="shared" si="0"/>
        <v>9</v>
      </c>
      <c r="K20" s="21"/>
    </row>
    <row r="21" customHeight="1" spans="1:11">
      <c r="A21" s="21">
        <f t="shared" si="1"/>
        <v>19</v>
      </c>
      <c r="B21" s="22" t="s">
        <v>29</v>
      </c>
      <c r="C21" s="23" t="s">
        <v>55</v>
      </c>
      <c r="D21" s="23" t="s">
        <v>31</v>
      </c>
      <c r="E21" s="23" t="s">
        <v>54</v>
      </c>
      <c r="F21" s="23" t="s">
        <v>13</v>
      </c>
      <c r="G21" s="21">
        <v>0</v>
      </c>
      <c r="H21" s="21">
        <f>SUMIFS('表1- 本月物资进出明细账'!H:H,'表1- 本月物资进出明细账'!B:B,"入库",'表1- 本月物资进出明细账'!C:C,B:B,'表1- 本月物资进出明细账'!D:D,C:C)</f>
        <v>0</v>
      </c>
      <c r="I21" s="21">
        <f>SUMIFS('表1- 本月物资进出明细账'!H:H,'表1- 本月物资进出明细账'!B:B,"出库",'表1- 本月物资进出明细账'!C:C,B:B,'表1- 本月物资进出明细账'!D:D,C:C)</f>
        <v>0</v>
      </c>
      <c r="J21" s="24">
        <f t="shared" si="0"/>
        <v>0</v>
      </c>
      <c r="K21" s="21"/>
    </row>
    <row r="22" s="7" customFormat="1" customHeight="1" spans="1:11">
      <c r="A22" s="21">
        <f t="shared" si="1"/>
        <v>20</v>
      </c>
      <c r="B22" s="22" t="s">
        <v>56</v>
      </c>
      <c r="C22" s="23" t="s">
        <v>57</v>
      </c>
      <c r="D22" s="23" t="s">
        <v>22</v>
      </c>
      <c r="E22" s="23" t="s">
        <v>54</v>
      </c>
      <c r="F22" s="23" t="s">
        <v>13</v>
      </c>
      <c r="G22" s="21">
        <v>12</v>
      </c>
      <c r="H22" s="21">
        <f>SUMIFS('表1- 本月物资进出明细账'!H:H,'表1- 本月物资进出明细账'!B:B,"入库",'表1- 本月物资进出明细账'!C:C,B:B,'表1- 本月物资进出明细账'!D:D,C:C)</f>
        <v>0</v>
      </c>
      <c r="I22" s="21">
        <f>SUMIFS('表1- 本月物资进出明细账'!H:H,'表1- 本月物资进出明细账'!B:B,"出库",'表1- 本月物资进出明细账'!C:C,B:B,'表1- 本月物资进出明细账'!D:D,C:C)</f>
        <v>1</v>
      </c>
      <c r="J22" s="24">
        <f t="shared" si="0"/>
        <v>11</v>
      </c>
      <c r="K22" s="21"/>
    </row>
    <row r="23" s="7" customFormat="1" customHeight="1" spans="1:11">
      <c r="A23" s="21">
        <f t="shared" si="1"/>
        <v>21</v>
      </c>
      <c r="B23" s="22" t="s">
        <v>56</v>
      </c>
      <c r="C23" s="23" t="s">
        <v>58</v>
      </c>
      <c r="D23" s="23" t="s">
        <v>22</v>
      </c>
      <c r="E23" s="23" t="s">
        <v>54</v>
      </c>
      <c r="F23" s="23" t="s">
        <v>13</v>
      </c>
      <c r="G23" s="21">
        <v>9</v>
      </c>
      <c r="H23" s="21">
        <f>SUMIFS('表1- 本月物资进出明细账'!H:H,'表1- 本月物资进出明细账'!B:B,"入库",'表1- 本月物资进出明细账'!C:C,B:B,'表1- 本月物资进出明细账'!D:D,C:C)</f>
        <v>0</v>
      </c>
      <c r="I23" s="21">
        <f>SUMIFS('表1- 本月物资进出明细账'!H:H,'表1- 本月物资进出明细账'!B:B,"出库",'表1- 本月物资进出明细账'!C:C,B:B,'表1- 本月物资进出明细账'!D:D,C:C)</f>
        <v>0</v>
      </c>
      <c r="J23" s="24">
        <f t="shared" si="0"/>
        <v>9</v>
      </c>
      <c r="K23" s="21"/>
    </row>
    <row r="24" customHeight="1" spans="1:11">
      <c r="A24" s="21">
        <f t="shared" si="1"/>
        <v>22</v>
      </c>
      <c r="B24" s="22" t="s">
        <v>59</v>
      </c>
      <c r="C24" s="23" t="s">
        <v>60</v>
      </c>
      <c r="D24" s="23" t="s">
        <v>22</v>
      </c>
      <c r="E24" s="23" t="s">
        <v>54</v>
      </c>
      <c r="F24" s="23" t="s">
        <v>13</v>
      </c>
      <c r="G24" s="21">
        <v>5</v>
      </c>
      <c r="H24" s="21">
        <f>SUMIFS('表1- 本月物资进出明细账'!H:H,'表1- 本月物资进出明细账'!B:B,"入库",'表1- 本月物资进出明细账'!C:C,B:B,'表1- 本月物资进出明细账'!D:D,C:C)</f>
        <v>0</v>
      </c>
      <c r="I24" s="21">
        <f>SUMIFS('表1- 本月物资进出明细账'!H:H,'表1- 本月物资进出明细账'!B:B,"出库",'表1- 本月物资进出明细账'!C:C,B:B,'表1- 本月物资进出明细账'!D:D,C:C)</f>
        <v>0</v>
      </c>
      <c r="J24" s="24">
        <f t="shared" si="0"/>
        <v>5</v>
      </c>
      <c r="K24" s="21"/>
    </row>
    <row r="25" customHeight="1" spans="1:11">
      <c r="A25" s="21">
        <f t="shared" si="1"/>
        <v>23</v>
      </c>
      <c r="B25" s="22" t="s">
        <v>61</v>
      </c>
      <c r="C25" s="23" t="s">
        <v>62</v>
      </c>
      <c r="D25" s="23" t="s">
        <v>51</v>
      </c>
      <c r="E25" s="23" t="s">
        <v>54</v>
      </c>
      <c r="F25" s="23" t="s">
        <v>41</v>
      </c>
      <c r="G25" s="21">
        <v>6</v>
      </c>
      <c r="H25" s="21">
        <f>SUMIFS('表1- 本月物资进出明细账'!H:H,'表1- 本月物资进出明细账'!B:B,"入库",'表1- 本月物资进出明细账'!C:C,B:B,'表1- 本月物资进出明细账'!D:D,C:C)</f>
        <v>30</v>
      </c>
      <c r="I25" s="21">
        <f>SUMIFS('表1- 本月物资进出明细账'!H:H,'表1- 本月物资进出明细账'!B:B,"出库",'表1- 本月物资进出明细账'!C:C,B:B,'表1- 本月物资进出明细账'!D:D,C:C)</f>
        <v>6</v>
      </c>
      <c r="J25" s="24">
        <f t="shared" si="0"/>
        <v>30</v>
      </c>
      <c r="K25" s="21"/>
    </row>
    <row r="26" customHeight="1" spans="1:11">
      <c r="A26" s="21">
        <f t="shared" si="1"/>
        <v>24</v>
      </c>
      <c r="B26" s="22" t="s">
        <v>63</v>
      </c>
      <c r="C26" s="23" t="s">
        <v>64</v>
      </c>
      <c r="D26" s="23" t="s">
        <v>65</v>
      </c>
      <c r="E26" s="23" t="s">
        <v>54</v>
      </c>
      <c r="F26" s="23" t="s">
        <v>41</v>
      </c>
      <c r="G26" s="21">
        <v>197</v>
      </c>
      <c r="H26" s="21">
        <f>SUMIFS('表1- 本月物资进出明细账'!H:H,'表1- 本月物资进出明细账'!B:B,"入库",'表1- 本月物资进出明细账'!C:C,B:B,'表1- 本月物资进出明细账'!D:D,C:C)</f>
        <v>0</v>
      </c>
      <c r="I26" s="21">
        <f>SUMIFS('表1- 本月物资进出明细账'!H:H,'表1- 本月物资进出明细账'!B:B,"出库",'表1- 本月物资进出明细账'!C:C,B:B,'表1- 本月物资进出明细账'!D:D,C:C)</f>
        <v>8</v>
      </c>
      <c r="J26" s="24">
        <f t="shared" si="0"/>
        <v>189</v>
      </c>
      <c r="K26" s="21"/>
    </row>
    <row r="27" s="7" customFormat="1" customHeight="1" spans="1:11">
      <c r="A27" s="21">
        <f t="shared" si="1"/>
        <v>25</v>
      </c>
      <c r="B27" s="22" t="s">
        <v>66</v>
      </c>
      <c r="C27" s="23" t="s">
        <v>67</v>
      </c>
      <c r="D27" s="23" t="s">
        <v>51</v>
      </c>
      <c r="E27" s="23" t="s">
        <v>54</v>
      </c>
      <c r="F27" s="23" t="s">
        <v>41</v>
      </c>
      <c r="G27" s="21">
        <v>72</v>
      </c>
      <c r="H27" s="21">
        <f>SUMIFS('表1- 本月物资进出明细账'!H:H,'表1- 本月物资进出明细账'!B:B,"入库",'表1- 本月物资进出明细账'!C:C,B:B,'表1- 本月物资进出明细账'!D:D,C:C)</f>
        <v>0</v>
      </c>
      <c r="I27" s="21">
        <f>SUMIFS('表1- 本月物资进出明细账'!H:H,'表1- 本月物资进出明细账'!B:B,"出库",'表1- 本月物资进出明细账'!C:C,B:B,'表1- 本月物资进出明细账'!D:D,C:C)</f>
        <v>13</v>
      </c>
      <c r="J27" s="24">
        <f t="shared" si="0"/>
        <v>59</v>
      </c>
      <c r="K27" s="21"/>
    </row>
    <row r="28" customHeight="1" spans="1:11">
      <c r="A28" s="21">
        <f t="shared" si="1"/>
        <v>26</v>
      </c>
      <c r="B28" s="22" t="s">
        <v>39</v>
      </c>
      <c r="C28" s="23" t="s">
        <v>68</v>
      </c>
      <c r="D28" s="23" t="s">
        <v>43</v>
      </c>
      <c r="E28" s="23" t="s">
        <v>54</v>
      </c>
      <c r="F28" s="23" t="s">
        <v>41</v>
      </c>
      <c r="G28" s="21">
        <v>551</v>
      </c>
      <c r="H28" s="21">
        <f>SUMIFS('表1- 本月物资进出明细账'!H:H,'表1- 本月物资进出明细账'!B:B,"入库",'表1- 本月物资进出明细账'!C:C,B:B,'表1- 本月物资进出明细账'!D:D,C:C)</f>
        <v>0</v>
      </c>
      <c r="I28" s="21">
        <f>SUMIFS('表1- 本月物资进出明细账'!H:H,'表1- 本月物资进出明细账'!B:B,"出库",'表1- 本月物资进出明细账'!C:C,B:B,'表1- 本月物资进出明细账'!D:D,C:C)</f>
        <v>34</v>
      </c>
      <c r="J28" s="24">
        <f t="shared" si="0"/>
        <v>517</v>
      </c>
      <c r="K28" s="21"/>
    </row>
    <row r="29" customHeight="1" spans="1:11">
      <c r="A29" s="21">
        <f t="shared" si="1"/>
        <v>27</v>
      </c>
      <c r="B29" s="22" t="s">
        <v>39</v>
      </c>
      <c r="C29" s="23" t="s">
        <v>69</v>
      </c>
      <c r="D29" s="23" t="s">
        <v>11</v>
      </c>
      <c r="E29" s="23" t="s">
        <v>54</v>
      </c>
      <c r="F29" s="23" t="s">
        <v>41</v>
      </c>
      <c r="G29" s="21">
        <v>209</v>
      </c>
      <c r="H29" s="21">
        <f>SUMIFS('表1- 本月物资进出明细账'!H:H,'表1- 本月物资进出明细账'!B:B,"入库",'表1- 本月物资进出明细账'!C:C,B:B,'表1- 本月物资进出明细账'!D:D,C:C)</f>
        <v>0</v>
      </c>
      <c r="I29" s="21">
        <f>SUMIFS('表1- 本月物资进出明细账'!H:H,'表1- 本月物资进出明细账'!B:B,"出库",'表1- 本月物资进出明细账'!C:C,B:B,'表1- 本月物资进出明细账'!D:D,C:C)</f>
        <v>14</v>
      </c>
      <c r="J29" s="24">
        <f t="shared" si="0"/>
        <v>195</v>
      </c>
      <c r="K29" s="21"/>
    </row>
    <row r="30" s="7" customFormat="1" customHeight="1" spans="1:11">
      <c r="A30" s="21">
        <f t="shared" si="1"/>
        <v>28</v>
      </c>
      <c r="B30" s="22" t="s">
        <v>70</v>
      </c>
      <c r="C30" s="23" t="s">
        <v>71</v>
      </c>
      <c r="D30" s="23" t="s">
        <v>51</v>
      </c>
      <c r="E30" s="23" t="s">
        <v>54</v>
      </c>
      <c r="F30" s="23" t="s">
        <v>41</v>
      </c>
      <c r="G30" s="21">
        <v>0</v>
      </c>
      <c r="H30" s="21">
        <f>SUMIFS('表1- 本月物资进出明细账'!H:H,'表1- 本月物资进出明细账'!B:B,"入库",'表1- 本月物资进出明细账'!C:C,B:B,'表1- 本月物资进出明细账'!D:D,C:C)</f>
        <v>0</v>
      </c>
      <c r="I30" s="21">
        <f>SUMIFS('表1- 本月物资进出明细账'!H:H,'表1- 本月物资进出明细账'!B:B,"出库",'表1- 本月物资进出明细账'!C:C,B:B,'表1- 本月物资进出明细账'!D:D,C:C)</f>
        <v>0</v>
      </c>
      <c r="J30" s="24">
        <f t="shared" si="0"/>
        <v>0</v>
      </c>
      <c r="K30" s="21"/>
    </row>
    <row r="31" s="7" customFormat="1" customHeight="1" spans="1:11">
      <c r="A31" s="21">
        <f t="shared" si="1"/>
        <v>29</v>
      </c>
      <c r="B31" s="22" t="s">
        <v>72</v>
      </c>
      <c r="C31" s="23" t="s">
        <v>73</v>
      </c>
      <c r="D31" s="23" t="s">
        <v>74</v>
      </c>
      <c r="E31" s="23" t="s">
        <v>54</v>
      </c>
      <c r="F31" s="23" t="s">
        <v>41</v>
      </c>
      <c r="G31" s="21">
        <v>66</v>
      </c>
      <c r="H31" s="21">
        <f>SUMIFS('表1- 本月物资进出明细账'!H:H,'表1- 本月物资进出明细账'!B:B,"入库",'表1- 本月物资进出明细账'!C:C,B:B,'表1- 本月物资进出明细账'!D:D,C:C)</f>
        <v>0</v>
      </c>
      <c r="I31" s="21">
        <f>SUMIFS('表1- 本月物资进出明细账'!H:H,'表1- 本月物资进出明细账'!B:B,"出库",'表1- 本月物资进出明细账'!C:C,B:B,'表1- 本月物资进出明细账'!D:D,C:C)</f>
        <v>45</v>
      </c>
      <c r="J31" s="24">
        <f t="shared" si="0"/>
        <v>21</v>
      </c>
      <c r="K31" s="21"/>
    </row>
    <row r="32" customHeight="1" spans="1:11">
      <c r="A32" s="21">
        <f t="shared" si="1"/>
        <v>30</v>
      </c>
      <c r="B32" s="22" t="s">
        <v>75</v>
      </c>
      <c r="C32" s="23" t="s">
        <v>76</v>
      </c>
      <c r="D32" s="23" t="s">
        <v>51</v>
      </c>
      <c r="E32" s="23" t="s">
        <v>54</v>
      </c>
      <c r="F32" s="23" t="s">
        <v>41</v>
      </c>
      <c r="G32" s="21">
        <v>9</v>
      </c>
      <c r="H32" s="21">
        <f>SUMIFS('表1- 本月物资进出明细账'!H:H,'表1- 本月物资进出明细账'!B:B,"入库",'表1- 本月物资进出明细账'!C:C,B:B,'表1- 本月物资进出明细账'!D:D,C:C)</f>
        <v>0</v>
      </c>
      <c r="I32" s="21">
        <f>SUMIFS('表1- 本月物资进出明细账'!H:H,'表1- 本月物资进出明细账'!B:B,"出库",'表1- 本月物资进出明细账'!C:C,B:B,'表1- 本月物资进出明细账'!D:D,C:C)</f>
        <v>9</v>
      </c>
      <c r="J32" s="24">
        <f t="shared" si="0"/>
        <v>0</v>
      </c>
      <c r="K32" s="21"/>
    </row>
    <row r="33" s="7" customFormat="1" customHeight="1" spans="1:11">
      <c r="A33" s="21">
        <f t="shared" si="1"/>
        <v>31</v>
      </c>
      <c r="B33" s="22" t="s">
        <v>77</v>
      </c>
      <c r="C33" s="23" t="s">
        <v>78</v>
      </c>
      <c r="D33" s="23" t="s">
        <v>51</v>
      </c>
      <c r="E33" s="23" t="s">
        <v>54</v>
      </c>
      <c r="F33" s="23" t="s">
        <v>41</v>
      </c>
      <c r="G33" s="21">
        <v>0</v>
      </c>
      <c r="H33" s="21">
        <f>SUMIFS('表1- 本月物资进出明细账'!H:H,'表1- 本月物资进出明细账'!B:B,"入库",'表1- 本月物资进出明细账'!C:C,B:B,'表1- 本月物资进出明细账'!D:D,C:C)</f>
        <v>0</v>
      </c>
      <c r="I33" s="21">
        <f>SUMIFS('表1- 本月物资进出明细账'!H:H,'表1- 本月物资进出明细账'!B:B,"出库",'表1- 本月物资进出明细账'!C:C,B:B,'表1- 本月物资进出明细账'!D:D,C:C)</f>
        <v>0</v>
      </c>
      <c r="J33" s="24">
        <f t="shared" si="0"/>
        <v>0</v>
      </c>
      <c r="K33" s="21"/>
    </row>
    <row r="34" customHeight="1" spans="1:11">
      <c r="A34" s="21">
        <f t="shared" si="1"/>
        <v>32</v>
      </c>
      <c r="B34" s="22" t="s">
        <v>79</v>
      </c>
      <c r="C34" s="23" t="s">
        <v>80</v>
      </c>
      <c r="D34" s="23" t="s">
        <v>43</v>
      </c>
      <c r="E34" s="23" t="s">
        <v>54</v>
      </c>
      <c r="F34" s="23" t="s">
        <v>41</v>
      </c>
      <c r="G34" s="21">
        <v>278</v>
      </c>
      <c r="H34" s="21">
        <f>SUMIFS('表1- 本月物资进出明细账'!H:H,'表1- 本月物资进出明细账'!B:B,"入库",'表1- 本月物资进出明细账'!C:C,B:B,'表1- 本月物资进出明细账'!D:D,C:C)</f>
        <v>0</v>
      </c>
      <c r="I34" s="21">
        <f>SUMIFS('表1- 本月物资进出明细账'!H:H,'表1- 本月物资进出明细账'!B:B,"出库",'表1- 本月物资进出明细账'!C:C,B:B,'表1- 本月物资进出明细账'!D:D,C:C)</f>
        <v>55</v>
      </c>
      <c r="J34" s="24">
        <f t="shared" si="0"/>
        <v>223</v>
      </c>
      <c r="K34" s="21"/>
    </row>
    <row r="35" s="7" customFormat="1" customHeight="1" spans="1:11">
      <c r="A35" s="21">
        <f t="shared" si="1"/>
        <v>33</v>
      </c>
      <c r="B35" s="22" t="s">
        <v>81</v>
      </c>
      <c r="C35" s="23" t="s">
        <v>82</v>
      </c>
      <c r="D35" s="23" t="s">
        <v>51</v>
      </c>
      <c r="E35" s="23" t="s">
        <v>54</v>
      </c>
      <c r="F35" s="23" t="s">
        <v>41</v>
      </c>
      <c r="G35" s="21">
        <v>17</v>
      </c>
      <c r="H35" s="21">
        <f>SUMIFS('表1- 本月物资进出明细账'!H:H,'表1- 本月物资进出明细账'!B:B,"入库",'表1- 本月物资进出明细账'!C:C,B:B,'表1- 本月物资进出明细账'!D:D,C:C)</f>
        <v>0</v>
      </c>
      <c r="I35" s="21">
        <f>SUMIFS('表1- 本月物资进出明细账'!H:H,'表1- 本月物资进出明细账'!B:B,"出库",'表1- 本月物资进出明细账'!C:C,B:B,'表1- 本月物资进出明细账'!D:D,C:C)</f>
        <v>4</v>
      </c>
      <c r="J35" s="24">
        <f t="shared" si="0"/>
        <v>13</v>
      </c>
      <c r="K35" s="21"/>
    </row>
    <row r="36" customHeight="1" spans="1:11">
      <c r="A36" s="21">
        <f t="shared" si="1"/>
        <v>34</v>
      </c>
      <c r="B36" s="22" t="s">
        <v>83</v>
      </c>
      <c r="C36" s="23" t="s">
        <v>84</v>
      </c>
      <c r="D36" s="23" t="s">
        <v>22</v>
      </c>
      <c r="E36" s="23" t="s">
        <v>85</v>
      </c>
      <c r="F36" s="23" t="s">
        <v>41</v>
      </c>
      <c r="G36" s="21">
        <v>2714</v>
      </c>
      <c r="H36" s="21">
        <f>SUMIFS('表1- 本月物资进出明细账'!H:H,'表1- 本月物资进出明细账'!B:B,"入库",'表1- 本月物资进出明细账'!C:C,B:B,'表1- 本月物资进出明细账'!D:D,C:C)</f>
        <v>0</v>
      </c>
      <c r="I36" s="21">
        <f>SUMIFS('表1- 本月物资进出明细账'!H:H,'表1- 本月物资进出明细账'!B:B,"出库",'表1- 本月物资进出明细账'!C:C,B:B,'表1- 本月物资进出明细账'!D:D,C:C)</f>
        <v>646</v>
      </c>
      <c r="J36" s="24">
        <f t="shared" si="0"/>
        <v>2068</v>
      </c>
      <c r="K36" s="21"/>
    </row>
    <row r="37" s="7" customFormat="1" customHeight="1" spans="1:11">
      <c r="A37" s="21">
        <f t="shared" si="1"/>
        <v>35</v>
      </c>
      <c r="B37" s="22" t="s">
        <v>83</v>
      </c>
      <c r="C37" s="23" t="s">
        <v>86</v>
      </c>
      <c r="D37" s="23" t="s">
        <v>22</v>
      </c>
      <c r="E37" s="23" t="s">
        <v>85</v>
      </c>
      <c r="F37" s="23" t="s">
        <v>41</v>
      </c>
      <c r="G37" s="21">
        <v>1178</v>
      </c>
      <c r="H37" s="21">
        <f>SUMIFS('表1- 本月物资进出明细账'!H:H,'表1- 本月物资进出明细账'!B:B,"入库",'表1- 本月物资进出明细账'!C:C,B:B,'表1- 本月物资进出明细账'!D:D,C:C)</f>
        <v>0</v>
      </c>
      <c r="I37" s="21">
        <f>SUMIFS('表1- 本月物资进出明细账'!H:H,'表1- 本月物资进出明细账'!B:B,"出库",'表1- 本月物资进出明细账'!C:C,B:B,'表1- 本月物资进出明细账'!D:D,C:C)</f>
        <v>132</v>
      </c>
      <c r="J37" s="24">
        <f t="shared" si="0"/>
        <v>1046</v>
      </c>
      <c r="K37" s="21"/>
    </row>
    <row r="38" customHeight="1" spans="1:11">
      <c r="A38" s="21">
        <f t="shared" si="1"/>
        <v>36</v>
      </c>
      <c r="B38" s="22" t="s">
        <v>87</v>
      </c>
      <c r="C38" s="23" t="s">
        <v>88</v>
      </c>
      <c r="D38" s="23" t="s">
        <v>22</v>
      </c>
      <c r="E38" s="23" t="s">
        <v>85</v>
      </c>
      <c r="F38" s="23" t="s">
        <v>41</v>
      </c>
      <c r="G38" s="21">
        <v>2</v>
      </c>
      <c r="H38" s="21">
        <f>SUMIFS('表1- 本月物资进出明细账'!H:H,'表1- 本月物资进出明细账'!B:B,"入库",'表1- 本月物资进出明细账'!C:C,B:B,'表1- 本月物资进出明细账'!D:D,C:C)</f>
        <v>20</v>
      </c>
      <c r="I38" s="21">
        <f>SUMIFS('表1- 本月物资进出明细账'!H:H,'表1- 本月物资进出明细账'!B:B,"出库",'表1- 本月物资进出明细账'!C:C,B:B,'表1- 本月物资进出明细账'!D:D,C:C)</f>
        <v>2</v>
      </c>
      <c r="J38" s="24">
        <f t="shared" si="0"/>
        <v>20</v>
      </c>
      <c r="K38" s="21"/>
    </row>
    <row r="39" customHeight="1" spans="1:11">
      <c r="A39" s="21">
        <f t="shared" si="1"/>
        <v>37</v>
      </c>
      <c r="B39" s="23" t="s">
        <v>87</v>
      </c>
      <c r="C39" s="23" t="s">
        <v>89</v>
      </c>
      <c r="D39" s="23" t="s">
        <v>22</v>
      </c>
      <c r="E39" s="23" t="s">
        <v>85</v>
      </c>
      <c r="F39" s="23" t="s">
        <v>41</v>
      </c>
      <c r="G39" s="21">
        <v>0</v>
      </c>
      <c r="H39" s="21">
        <f>SUMIFS('表1- 本月物资进出明细账'!H:H,'表1- 本月物资进出明细账'!B:B,"入库",'表1- 本月物资进出明细账'!C:C,B:B,'表1- 本月物资进出明细账'!D:D,C:C)</f>
        <v>0</v>
      </c>
      <c r="I39" s="21">
        <f>SUMIFS('表1- 本月物资进出明细账'!H:H,'表1- 本月物资进出明细账'!B:B,"出库",'表1- 本月物资进出明细账'!C:C,B:B,'表1- 本月物资进出明细账'!D:D,C:C)</f>
        <v>0</v>
      </c>
      <c r="J39" s="21">
        <f t="shared" si="0"/>
        <v>0</v>
      </c>
      <c r="K39" s="21"/>
    </row>
    <row r="40" customHeight="1" spans="1:11">
      <c r="A40" s="21">
        <f t="shared" si="1"/>
        <v>38</v>
      </c>
      <c r="B40" s="22" t="s">
        <v>90</v>
      </c>
      <c r="C40" s="23" t="s">
        <v>91</v>
      </c>
      <c r="D40" s="23" t="s">
        <v>22</v>
      </c>
      <c r="E40" s="23" t="s">
        <v>85</v>
      </c>
      <c r="F40" s="23" t="s">
        <v>41</v>
      </c>
      <c r="G40" s="21">
        <v>180</v>
      </c>
      <c r="H40" s="21">
        <f>SUMIFS('表1- 本月物资进出明细账'!H:H,'表1- 本月物资进出明细账'!B:B,"入库",'表1- 本月物资进出明细账'!C:C,B:B,'表1- 本月物资进出明细账'!D:D,C:C)</f>
        <v>0</v>
      </c>
      <c r="I40" s="21">
        <f>SUMIFS('表1- 本月物资进出明细账'!H:H,'表1- 本月物资进出明细账'!B:B,"出库",'表1- 本月物资进出明细账'!C:C,B:B,'表1- 本月物资进出明细账'!D:D,C:C)</f>
        <v>0</v>
      </c>
      <c r="J40" s="24">
        <f t="shared" si="0"/>
        <v>180</v>
      </c>
      <c r="K40" s="21"/>
    </row>
    <row r="41" customHeight="1" spans="1:11">
      <c r="A41" s="21">
        <f t="shared" si="1"/>
        <v>39</v>
      </c>
      <c r="B41" s="23" t="s">
        <v>92</v>
      </c>
      <c r="C41" s="23" t="s">
        <v>93</v>
      </c>
      <c r="D41" s="23" t="s">
        <v>94</v>
      </c>
      <c r="E41" s="23" t="s">
        <v>95</v>
      </c>
      <c r="F41" s="23" t="s">
        <v>96</v>
      </c>
      <c r="G41" s="21">
        <v>0</v>
      </c>
      <c r="H41" s="21">
        <f>SUMIFS('表1- 本月物资进出明细账'!H:H,'表1- 本月物资进出明细账'!B:B,"入库",'表1- 本月物资进出明细账'!C:C,B:B,'表1- 本月物资进出明细账'!D:D,C:C)</f>
        <v>0</v>
      </c>
      <c r="I41" s="21">
        <f>SUMIFS('表1- 本月物资进出明细账'!H:H,'表1- 本月物资进出明细账'!B:B,"出库",'表1- 本月物资进出明细账'!C:C,B:B,'表1- 本月物资进出明细账'!D:D,C:C)</f>
        <v>0</v>
      </c>
      <c r="J41" s="21">
        <f t="shared" si="0"/>
        <v>0</v>
      </c>
      <c r="K41" s="21"/>
    </row>
    <row r="42" customHeight="1" spans="1:11">
      <c r="A42" s="21">
        <f t="shared" si="1"/>
        <v>40</v>
      </c>
      <c r="B42" s="23" t="s">
        <v>97</v>
      </c>
      <c r="C42" s="23" t="s">
        <v>98</v>
      </c>
      <c r="D42" s="23" t="s">
        <v>11</v>
      </c>
      <c r="E42" s="23" t="s">
        <v>99</v>
      </c>
      <c r="F42" s="23" t="s">
        <v>13</v>
      </c>
      <c r="G42" s="21">
        <v>0</v>
      </c>
      <c r="H42" s="21">
        <f>SUMIFS('表1- 本月物资进出明细账'!H:H,'表1- 本月物资进出明细账'!B:B,"入库",'表1- 本月物资进出明细账'!C:C,B:B,'表1- 本月物资进出明细账'!D:D,C:C)</f>
        <v>0</v>
      </c>
      <c r="I42" s="21">
        <f>SUMIFS('表1- 本月物资进出明细账'!H:H,'表1- 本月物资进出明细账'!B:B,"出库",'表1- 本月物资进出明细账'!C:C,B:B,'表1- 本月物资进出明细账'!D:D,C:C)</f>
        <v>0</v>
      </c>
      <c r="J42" s="21">
        <f t="shared" si="0"/>
        <v>0</v>
      </c>
      <c r="K42" s="21"/>
    </row>
    <row r="43" customHeight="1" spans="1:11">
      <c r="A43" s="21">
        <f t="shared" si="1"/>
        <v>41</v>
      </c>
      <c r="B43" s="23" t="s">
        <v>100</v>
      </c>
      <c r="C43" s="23" t="s">
        <v>101</v>
      </c>
      <c r="D43" s="23" t="s">
        <v>102</v>
      </c>
      <c r="E43" s="23" t="s">
        <v>99</v>
      </c>
      <c r="F43" s="23" t="s">
        <v>13</v>
      </c>
      <c r="G43" s="21">
        <v>0</v>
      </c>
      <c r="H43" s="21">
        <f>SUMIFS('表1- 本月物资进出明细账'!H:H,'表1- 本月物资进出明细账'!B:B,"入库",'表1- 本月物资进出明细账'!C:C,B:B,'表1- 本月物资进出明细账'!D:D,C:C)</f>
        <v>0</v>
      </c>
      <c r="I43" s="21">
        <f>SUMIFS('表1- 本月物资进出明细账'!H:H,'表1- 本月物资进出明细账'!B:B,"出库",'表1- 本月物资进出明细账'!C:C,B:B,'表1- 本月物资进出明细账'!D:D,C:C)</f>
        <v>0</v>
      </c>
      <c r="J43" s="21">
        <f t="shared" si="0"/>
        <v>0</v>
      </c>
      <c r="K43" s="21"/>
    </row>
    <row r="44" customHeight="1" spans="1:11">
      <c r="A44" s="21">
        <f t="shared" si="1"/>
        <v>42</v>
      </c>
      <c r="B44" s="22" t="s">
        <v>100</v>
      </c>
      <c r="C44" s="23" t="s">
        <v>103</v>
      </c>
      <c r="D44" s="23" t="s">
        <v>102</v>
      </c>
      <c r="E44" s="23" t="s">
        <v>99</v>
      </c>
      <c r="F44" s="23" t="s">
        <v>13</v>
      </c>
      <c r="G44" s="21">
        <v>39</v>
      </c>
      <c r="H44" s="21">
        <f>SUMIFS('表1- 本月物资进出明细账'!H:H,'表1- 本月物资进出明细账'!B:B,"入库",'表1- 本月物资进出明细账'!C:C,B:B,'表1- 本月物资进出明细账'!D:D,C:C)</f>
        <v>0</v>
      </c>
      <c r="I44" s="21">
        <f>SUMIFS('表1- 本月物资进出明细账'!H:H,'表1- 本月物资进出明细账'!B:B,"出库",'表1- 本月物资进出明细账'!C:C,B:B,'表1- 本月物资进出明细账'!D:D,C:C)</f>
        <v>12</v>
      </c>
      <c r="J44" s="24">
        <f t="shared" si="0"/>
        <v>27</v>
      </c>
      <c r="K44" s="21"/>
    </row>
    <row r="45" customHeight="1" spans="1:11">
      <c r="A45" s="21">
        <f t="shared" si="1"/>
        <v>43</v>
      </c>
      <c r="B45" s="23" t="s">
        <v>100</v>
      </c>
      <c r="C45" s="23" t="s">
        <v>69</v>
      </c>
      <c r="D45" s="23" t="s">
        <v>102</v>
      </c>
      <c r="E45" s="23" t="s">
        <v>99</v>
      </c>
      <c r="F45" s="23" t="s">
        <v>13</v>
      </c>
      <c r="G45" s="21">
        <v>0</v>
      </c>
      <c r="H45" s="21">
        <f>SUMIFS('表1- 本月物资进出明细账'!H:H,'表1- 本月物资进出明细账'!B:B,"入库",'表1- 本月物资进出明细账'!C:C,B:B,'表1- 本月物资进出明细账'!D:D,C:C)</f>
        <v>0</v>
      </c>
      <c r="I45" s="21">
        <f>SUMIFS('表1- 本月物资进出明细账'!H:H,'表1- 本月物资进出明细账'!B:B,"出库",'表1- 本月物资进出明细账'!C:C,B:B,'表1- 本月物资进出明细账'!D:D,C:C)</f>
        <v>0</v>
      </c>
      <c r="J45" s="21">
        <f t="shared" si="0"/>
        <v>0</v>
      </c>
      <c r="K45" s="21"/>
    </row>
    <row r="46" customHeight="1" spans="1:11">
      <c r="A46" s="21">
        <f t="shared" si="1"/>
        <v>44</v>
      </c>
      <c r="B46" s="23" t="s">
        <v>29</v>
      </c>
      <c r="C46" s="23" t="s">
        <v>104</v>
      </c>
      <c r="D46" s="23" t="s">
        <v>31</v>
      </c>
      <c r="E46" s="23" t="s">
        <v>99</v>
      </c>
      <c r="F46" s="23" t="s">
        <v>13</v>
      </c>
      <c r="G46" s="21">
        <v>40</v>
      </c>
      <c r="H46" s="21">
        <f>SUMIFS('表1- 本月物资进出明细账'!H:H,'表1- 本月物资进出明细账'!B:B,"入库",'表1- 本月物资进出明细账'!C:C,B:B,'表1- 本月物资进出明细账'!D:D,C:C)</f>
        <v>0</v>
      </c>
      <c r="I46" s="21">
        <f>SUMIFS('表1- 本月物资进出明细账'!H:H,'表1- 本月物资进出明细账'!B:B,"出库",'表1- 本月物资进出明细账'!C:C,B:B,'表1- 本月物资进出明细账'!D:D,C:C)</f>
        <v>0</v>
      </c>
      <c r="J46" s="21">
        <f t="shared" si="0"/>
        <v>40</v>
      </c>
      <c r="K46" s="21"/>
    </row>
    <row r="47" customHeight="1" spans="1:11">
      <c r="A47" s="21">
        <f t="shared" si="1"/>
        <v>45</v>
      </c>
      <c r="B47" s="22" t="s">
        <v>105</v>
      </c>
      <c r="C47" s="23" t="s">
        <v>106</v>
      </c>
      <c r="D47" s="23" t="s">
        <v>11</v>
      </c>
      <c r="E47" s="23" t="s">
        <v>99</v>
      </c>
      <c r="F47" s="23" t="s">
        <v>13</v>
      </c>
      <c r="G47" s="21">
        <v>17</v>
      </c>
      <c r="H47" s="21">
        <f>SUMIFS('表1- 本月物资进出明细账'!H:H,'表1- 本月物资进出明细账'!B:B,"入库",'表1- 本月物资进出明细账'!C:C,B:B,'表1- 本月物资进出明细账'!D:D,C:C)</f>
        <v>0</v>
      </c>
      <c r="I47" s="21">
        <f>SUMIFS('表1- 本月物资进出明细账'!H:H,'表1- 本月物资进出明细账'!B:B,"出库",'表1- 本月物资进出明细账'!C:C,B:B,'表1- 本月物资进出明细账'!D:D,C:C)</f>
        <v>0</v>
      </c>
      <c r="J47" s="24">
        <f t="shared" si="0"/>
        <v>17</v>
      </c>
      <c r="K47" s="21"/>
    </row>
    <row r="48" customHeight="1" spans="1:11">
      <c r="A48" s="21">
        <f t="shared" si="1"/>
        <v>46</v>
      </c>
      <c r="B48" s="23" t="s">
        <v>107</v>
      </c>
      <c r="C48" s="23" t="s">
        <v>108</v>
      </c>
      <c r="D48" s="23" t="s">
        <v>11</v>
      </c>
      <c r="E48" s="23" t="s">
        <v>99</v>
      </c>
      <c r="F48" s="23" t="s">
        <v>13</v>
      </c>
      <c r="G48" s="21">
        <v>0</v>
      </c>
      <c r="H48" s="21">
        <f>SUMIFS('表1- 本月物资进出明细账'!H:H,'表1- 本月物资进出明细账'!B:B,"入库",'表1- 本月物资进出明细账'!C:C,B:B,'表1- 本月物资进出明细账'!D:D,C:C)</f>
        <v>0</v>
      </c>
      <c r="I48" s="21">
        <f>SUMIFS('表1- 本月物资进出明细账'!H:H,'表1- 本月物资进出明细账'!B:B,"出库",'表1- 本月物资进出明细账'!C:C,B:B,'表1- 本月物资进出明细账'!D:D,C:C)</f>
        <v>0</v>
      </c>
      <c r="J48" s="21">
        <f t="shared" si="0"/>
        <v>0</v>
      </c>
      <c r="K48" s="21"/>
    </row>
    <row r="49" customHeight="1" spans="1:11">
      <c r="A49" s="21">
        <f t="shared" si="1"/>
        <v>47</v>
      </c>
      <c r="B49" s="23" t="s">
        <v>109</v>
      </c>
      <c r="C49" s="23" t="s">
        <v>110</v>
      </c>
      <c r="D49" s="23" t="s">
        <v>11</v>
      </c>
      <c r="E49" s="23" t="s">
        <v>99</v>
      </c>
      <c r="F49" s="23" t="s">
        <v>41</v>
      </c>
      <c r="G49" s="21">
        <v>0</v>
      </c>
      <c r="H49" s="21">
        <f>SUMIFS('表1- 本月物资进出明细账'!H:H,'表1- 本月物资进出明细账'!B:B,"入库",'表1- 本月物资进出明细账'!C:C,B:B,'表1- 本月物资进出明细账'!D:D,C:C)</f>
        <v>0</v>
      </c>
      <c r="I49" s="21">
        <f>SUMIFS('表1- 本月物资进出明细账'!H:H,'表1- 本月物资进出明细账'!B:B,"出库",'表1- 本月物资进出明细账'!C:C,B:B,'表1- 本月物资进出明细账'!D:D,C:C)</f>
        <v>0</v>
      </c>
      <c r="J49" s="21">
        <f t="shared" si="0"/>
        <v>0</v>
      </c>
      <c r="K49" s="21"/>
    </row>
    <row r="50" customHeight="1" spans="1:11">
      <c r="A50" s="21">
        <f t="shared" si="1"/>
        <v>48</v>
      </c>
      <c r="B50" s="23" t="s">
        <v>111</v>
      </c>
      <c r="C50" s="23" t="s">
        <v>112</v>
      </c>
      <c r="D50" s="23" t="s">
        <v>11</v>
      </c>
      <c r="E50" s="23" t="s">
        <v>99</v>
      </c>
      <c r="F50" s="23" t="s">
        <v>41</v>
      </c>
      <c r="G50" s="21">
        <v>0</v>
      </c>
      <c r="H50" s="21">
        <f>SUMIFS('表1- 本月物资进出明细账'!H:H,'表1- 本月物资进出明细账'!B:B,"入库",'表1- 本月物资进出明细账'!C:C,B:B,'表1- 本月物资进出明细账'!D:D,C:C)</f>
        <v>0</v>
      </c>
      <c r="I50" s="21">
        <f>SUMIFS('表1- 本月物资进出明细账'!H:H,'表1- 本月物资进出明细账'!B:B,"出库",'表1- 本月物资进出明细账'!C:C,B:B,'表1- 本月物资进出明细账'!D:D,C:C)</f>
        <v>0</v>
      </c>
      <c r="J50" s="21">
        <f t="shared" si="0"/>
        <v>0</v>
      </c>
      <c r="K50" s="21"/>
    </row>
    <row r="51" s="7" customFormat="1" customHeight="1" spans="1:11">
      <c r="A51" s="21">
        <f t="shared" si="1"/>
        <v>49</v>
      </c>
      <c r="B51" s="23" t="s">
        <v>113</v>
      </c>
      <c r="C51" s="23" t="s">
        <v>114</v>
      </c>
      <c r="D51" s="23" t="s">
        <v>51</v>
      </c>
      <c r="E51" s="23" t="s">
        <v>99</v>
      </c>
      <c r="F51" s="23" t="s">
        <v>41</v>
      </c>
      <c r="G51" s="21">
        <v>0</v>
      </c>
      <c r="H51" s="21">
        <f>SUMIFS('表1- 本月物资进出明细账'!H:H,'表1- 本月物资进出明细账'!B:B,"入库",'表1- 本月物资进出明细账'!C:C,B:B,'表1- 本月物资进出明细账'!D:D,C:C)</f>
        <v>0</v>
      </c>
      <c r="I51" s="21">
        <f>SUMIFS('表1- 本月物资进出明细账'!H:H,'表1- 本月物资进出明细账'!B:B,"出库",'表1- 本月物资进出明细账'!C:C,B:B,'表1- 本月物资进出明细账'!D:D,C:C)</f>
        <v>0</v>
      </c>
      <c r="J51" s="21">
        <f t="shared" si="0"/>
        <v>0</v>
      </c>
      <c r="K51" s="21"/>
    </row>
    <row r="52" customHeight="1" spans="1:11">
      <c r="A52" s="21">
        <f t="shared" si="1"/>
        <v>50</v>
      </c>
      <c r="B52" s="22" t="s">
        <v>115</v>
      </c>
      <c r="C52" s="25" t="s">
        <v>116</v>
      </c>
      <c r="D52" s="25" t="s">
        <v>117</v>
      </c>
      <c r="E52" s="25" t="s">
        <v>118</v>
      </c>
      <c r="F52" s="25" t="s">
        <v>13</v>
      </c>
      <c r="G52" s="21">
        <v>10</v>
      </c>
      <c r="H52" s="21">
        <f>SUMIFS('表1- 本月物资进出明细账'!H:H,'表1- 本月物资进出明细账'!B:B,"入库",'表1- 本月物资进出明细账'!C:C,B:B,'表1- 本月物资进出明细账'!D:D,C:C)</f>
        <v>0</v>
      </c>
      <c r="I52" s="21">
        <f>SUMIFS('表1- 本月物资进出明细账'!H:H,'表1- 本月物资进出明细账'!B:B,"出库",'表1- 本月物资进出明细账'!C:C,B:B,'表1- 本月物资进出明细账'!D:D,C:C)</f>
        <v>1</v>
      </c>
      <c r="J52" s="24">
        <f t="shared" si="0"/>
        <v>9</v>
      </c>
      <c r="K52" s="21"/>
    </row>
    <row r="53" customHeight="1" spans="1:11">
      <c r="A53" s="21">
        <f t="shared" si="1"/>
        <v>51</v>
      </c>
      <c r="B53" s="23" t="s">
        <v>119</v>
      </c>
      <c r="C53" s="25" t="s">
        <v>120</v>
      </c>
      <c r="D53" s="25" t="s">
        <v>121</v>
      </c>
      <c r="E53" s="25" t="s">
        <v>118</v>
      </c>
      <c r="F53" s="25" t="s">
        <v>13</v>
      </c>
      <c r="G53" s="21">
        <v>0</v>
      </c>
      <c r="H53" s="21">
        <f>SUMIFS('表1- 本月物资进出明细账'!H:H,'表1- 本月物资进出明细账'!B:B,"入库",'表1- 本月物资进出明细账'!C:C,B:B,'表1- 本月物资进出明细账'!D:D,C:C)</f>
        <v>0</v>
      </c>
      <c r="I53" s="21">
        <f>SUMIFS('表1- 本月物资进出明细账'!H:H,'表1- 本月物资进出明细账'!B:B,"出库",'表1- 本月物资进出明细账'!C:C,B:B,'表1- 本月物资进出明细账'!D:D,C:C)</f>
        <v>0</v>
      </c>
      <c r="J53" s="21">
        <f t="shared" si="0"/>
        <v>0</v>
      </c>
      <c r="K53" s="21"/>
    </row>
    <row r="54" customHeight="1" spans="1:11">
      <c r="A54" s="21">
        <f t="shared" si="1"/>
        <v>52</v>
      </c>
      <c r="B54" s="23" t="s">
        <v>122</v>
      </c>
      <c r="C54" s="25" t="s">
        <v>123</v>
      </c>
      <c r="D54" s="25" t="s">
        <v>11</v>
      </c>
      <c r="E54" s="25" t="s">
        <v>118</v>
      </c>
      <c r="F54" s="25" t="s">
        <v>13</v>
      </c>
      <c r="G54" s="21">
        <v>0</v>
      </c>
      <c r="H54" s="21">
        <f>SUMIFS('表1- 本月物资进出明细账'!H:H,'表1- 本月物资进出明细账'!B:B,"入库",'表1- 本月物资进出明细账'!C:C,B:B,'表1- 本月物资进出明细账'!D:D,C:C)</f>
        <v>0</v>
      </c>
      <c r="I54" s="21">
        <f>SUMIFS('表1- 本月物资进出明细账'!H:H,'表1- 本月物资进出明细账'!B:B,"出库",'表1- 本月物资进出明细账'!C:C,B:B,'表1- 本月物资进出明细账'!D:D,C:C)</f>
        <v>0</v>
      </c>
      <c r="J54" s="21">
        <f t="shared" si="0"/>
        <v>0</v>
      </c>
      <c r="K54" s="21"/>
    </row>
    <row r="55" customHeight="1" spans="1:11">
      <c r="A55" s="21">
        <f t="shared" si="1"/>
        <v>53</v>
      </c>
      <c r="B55" s="22" t="s">
        <v>124</v>
      </c>
      <c r="C55" s="25" t="s">
        <v>125</v>
      </c>
      <c r="D55" s="25" t="s">
        <v>65</v>
      </c>
      <c r="E55" s="25" t="s">
        <v>118</v>
      </c>
      <c r="F55" s="25" t="s">
        <v>41</v>
      </c>
      <c r="G55" s="21">
        <v>14</v>
      </c>
      <c r="H55" s="21">
        <f>SUMIFS('表1- 本月物资进出明细账'!H:H,'表1- 本月物资进出明细账'!B:B,"入库",'表1- 本月物资进出明细账'!C:C,B:B,'表1- 本月物资进出明细账'!D:D,C:C)</f>
        <v>0</v>
      </c>
      <c r="I55" s="21">
        <f>SUMIFS('表1- 本月物资进出明细账'!H:H,'表1- 本月物资进出明细账'!B:B,"出库",'表1- 本月物资进出明细账'!C:C,B:B,'表1- 本月物资进出明细账'!D:D,C:C)</f>
        <v>4</v>
      </c>
      <c r="J55" s="24">
        <f t="shared" si="0"/>
        <v>10</v>
      </c>
      <c r="K55" s="21"/>
    </row>
    <row r="56" customHeight="1" spans="1:11">
      <c r="A56" s="21">
        <f t="shared" si="1"/>
        <v>54</v>
      </c>
      <c r="B56" s="23" t="s">
        <v>126</v>
      </c>
      <c r="C56" s="23" t="s">
        <v>127</v>
      </c>
      <c r="D56" s="23" t="s">
        <v>11</v>
      </c>
      <c r="E56" s="23" t="s">
        <v>99</v>
      </c>
      <c r="F56" s="23" t="s">
        <v>13</v>
      </c>
      <c r="G56" s="21">
        <v>0</v>
      </c>
      <c r="H56" s="21">
        <f>SUMIFS('表1- 本月物资进出明细账'!H:H,'表1- 本月物资进出明细账'!B:B,"入库",'表1- 本月物资进出明细账'!C:C,B:B,'表1- 本月物资进出明细账'!D:D,C:C)</f>
        <v>0</v>
      </c>
      <c r="I56" s="21">
        <f>SUMIFS('表1- 本月物资进出明细账'!H:H,'表1- 本月物资进出明细账'!B:B,"出库",'表1- 本月物资进出明细账'!C:C,B:B,'表1- 本月物资进出明细账'!D:D,C:C)</f>
        <v>0</v>
      </c>
      <c r="J56" s="26">
        <f t="shared" si="0"/>
        <v>0</v>
      </c>
      <c r="K56" s="21"/>
    </row>
    <row r="57" s="7" customFormat="1" customHeight="1" spans="1:11">
      <c r="A57" s="21">
        <f t="shared" si="1"/>
        <v>55</v>
      </c>
      <c r="B57" s="23" t="s">
        <v>126</v>
      </c>
      <c r="C57" s="23" t="s">
        <v>128</v>
      </c>
      <c r="D57" s="23" t="s">
        <v>11</v>
      </c>
      <c r="E57" s="23" t="s">
        <v>99</v>
      </c>
      <c r="F57" s="23" t="s">
        <v>41</v>
      </c>
      <c r="G57" s="21">
        <v>0</v>
      </c>
      <c r="H57" s="21">
        <f>SUMIFS('表1- 本月物资进出明细账'!H:H,'表1- 本月物资进出明细账'!B:B,"入库",'表1- 本月物资进出明细账'!C:C,B:B,'表1- 本月物资进出明细账'!D:D,C:C)</f>
        <v>0</v>
      </c>
      <c r="I57" s="21">
        <f>SUMIFS('表1- 本月物资进出明细账'!H:H,'表1- 本月物资进出明细账'!B:B,"出库",'表1- 本月物资进出明细账'!C:C,B:B,'表1- 本月物资进出明细账'!D:D,C:C)</f>
        <v>0</v>
      </c>
      <c r="J57" s="26">
        <f t="shared" si="0"/>
        <v>0</v>
      </c>
      <c r="K57" s="21"/>
    </row>
    <row r="58" s="7" customFormat="1" customHeight="1" spans="1:11">
      <c r="A58" s="21">
        <f t="shared" si="1"/>
        <v>56</v>
      </c>
      <c r="B58" s="23" t="s">
        <v>129</v>
      </c>
      <c r="C58" s="23" t="s">
        <v>130</v>
      </c>
      <c r="D58" s="23" t="s">
        <v>94</v>
      </c>
      <c r="E58" s="23" t="s">
        <v>131</v>
      </c>
      <c r="F58" s="23" t="s">
        <v>96</v>
      </c>
      <c r="G58" s="21">
        <v>0</v>
      </c>
      <c r="H58" s="21">
        <f>SUMIFS('表1- 本月物资进出明细账'!H:H,'表1- 本月物资进出明细账'!B:B,"入库",'表1- 本月物资进出明细账'!C:C,B:B,'表1- 本月物资进出明细账'!D:D,C:C)</f>
        <v>0</v>
      </c>
      <c r="I58" s="21">
        <f>SUMIFS('表1- 本月物资进出明细账'!H:H,'表1- 本月物资进出明细账'!B:B,"出库",'表1- 本月物资进出明细账'!C:C,B:B,'表1- 本月物资进出明细账'!D:D,C:C)</f>
        <v>0</v>
      </c>
      <c r="J58" s="21">
        <f t="shared" si="0"/>
        <v>0</v>
      </c>
      <c r="K58" s="21"/>
    </row>
    <row r="59" customHeight="1" spans="1:11">
      <c r="A59" s="21">
        <f t="shared" si="1"/>
        <v>57</v>
      </c>
      <c r="B59" s="22" t="s">
        <v>129</v>
      </c>
      <c r="C59" s="23" t="s">
        <v>132</v>
      </c>
      <c r="D59" s="23" t="s">
        <v>94</v>
      </c>
      <c r="E59" s="23" t="s">
        <v>131</v>
      </c>
      <c r="F59" s="23" t="s">
        <v>96</v>
      </c>
      <c r="G59" s="21">
        <v>14</v>
      </c>
      <c r="H59" s="21">
        <f>SUMIFS('表1- 本月物资进出明细账'!H:H,'表1- 本月物资进出明细账'!B:B,"入库",'表1- 本月物资进出明细账'!C:C,B:B,'表1- 本月物资进出明细账'!D:D,C:C)</f>
        <v>0</v>
      </c>
      <c r="I59" s="21">
        <f>SUMIFS('表1- 本月物资进出明细账'!H:H,'表1- 本月物资进出明细账'!B:B,"出库",'表1- 本月物资进出明细账'!C:C,B:B,'表1- 本月物资进出明细账'!D:D,C:C)</f>
        <v>0</v>
      </c>
      <c r="J59" s="24">
        <f t="shared" si="0"/>
        <v>14</v>
      </c>
      <c r="K59" s="21"/>
    </row>
    <row r="60" customHeight="1" spans="1:11">
      <c r="A60" s="21">
        <f t="shared" si="1"/>
        <v>58</v>
      </c>
      <c r="B60" s="22" t="s">
        <v>129</v>
      </c>
      <c r="C60" s="23" t="s">
        <v>133</v>
      </c>
      <c r="D60" s="23" t="s">
        <v>94</v>
      </c>
      <c r="E60" s="23" t="s">
        <v>131</v>
      </c>
      <c r="F60" s="23" t="s">
        <v>96</v>
      </c>
      <c r="G60" s="21">
        <v>10</v>
      </c>
      <c r="H60" s="21">
        <f>SUMIFS('表1- 本月物资进出明细账'!H:H,'表1- 本月物资进出明细账'!B:B,"入库",'表1- 本月物资进出明细账'!C:C,B:B,'表1- 本月物资进出明细账'!D:D,C:C)</f>
        <v>0</v>
      </c>
      <c r="I60" s="21">
        <f>SUMIFS('表1- 本月物资进出明细账'!H:H,'表1- 本月物资进出明细账'!B:B,"出库",'表1- 本月物资进出明细账'!C:C,B:B,'表1- 本月物资进出明细账'!D:D,C:C)</f>
        <v>6</v>
      </c>
      <c r="J60" s="24">
        <f t="shared" si="0"/>
        <v>4</v>
      </c>
      <c r="K60" s="21"/>
    </row>
    <row r="61" customHeight="1" spans="1:11">
      <c r="A61" s="21">
        <f t="shared" si="1"/>
        <v>59</v>
      </c>
      <c r="B61" s="22" t="s">
        <v>129</v>
      </c>
      <c r="C61" s="23" t="s">
        <v>134</v>
      </c>
      <c r="D61" s="23" t="s">
        <v>94</v>
      </c>
      <c r="E61" s="23" t="s">
        <v>131</v>
      </c>
      <c r="F61" s="23" t="s">
        <v>96</v>
      </c>
      <c r="G61" s="21">
        <v>0</v>
      </c>
      <c r="H61" s="21">
        <f>SUMIFS('表1- 本月物资进出明细账'!H:H,'表1- 本月物资进出明细账'!B:B,"入库",'表1- 本月物资进出明细账'!C:C,B:B,'表1- 本月物资进出明细账'!D:D,C:C)</f>
        <v>0</v>
      </c>
      <c r="I61" s="21">
        <f>SUMIFS('表1- 本月物资进出明细账'!H:H,'表1- 本月物资进出明细账'!B:B,"出库",'表1- 本月物资进出明细账'!C:C,B:B,'表1- 本月物资进出明细账'!D:D,C:C)</f>
        <v>0</v>
      </c>
      <c r="J61" s="24">
        <f t="shared" si="0"/>
        <v>0</v>
      </c>
      <c r="K61" s="21"/>
    </row>
    <row r="62" customHeight="1" spans="1:11">
      <c r="A62" s="21">
        <f t="shared" si="1"/>
        <v>60</v>
      </c>
      <c r="B62" s="23" t="s">
        <v>129</v>
      </c>
      <c r="C62" s="23" t="s">
        <v>135</v>
      </c>
      <c r="D62" s="23" t="s">
        <v>94</v>
      </c>
      <c r="E62" s="23" t="s">
        <v>131</v>
      </c>
      <c r="F62" s="23" t="s">
        <v>96</v>
      </c>
      <c r="G62" s="21">
        <v>0</v>
      </c>
      <c r="H62" s="21">
        <f>SUMIFS('表1- 本月物资进出明细账'!H:H,'表1- 本月物资进出明细账'!B:B,"入库",'表1- 本月物资进出明细账'!C:C,B:B,'表1- 本月物资进出明细账'!D:D,C:C)</f>
        <v>0</v>
      </c>
      <c r="I62" s="21">
        <f>SUMIFS('表1- 本月物资进出明细账'!H:H,'表1- 本月物资进出明细账'!B:B,"出库",'表1- 本月物资进出明细账'!C:C,B:B,'表1- 本月物资进出明细账'!D:D,C:C)</f>
        <v>0</v>
      </c>
      <c r="J62" s="21">
        <f t="shared" si="0"/>
        <v>0</v>
      </c>
      <c r="K62" s="21"/>
    </row>
    <row r="63" s="7" customFormat="1" customHeight="1" spans="1:11">
      <c r="A63" s="21">
        <f t="shared" si="1"/>
        <v>61</v>
      </c>
      <c r="B63" s="23" t="s">
        <v>129</v>
      </c>
      <c r="C63" s="23" t="s">
        <v>136</v>
      </c>
      <c r="D63" s="23" t="s">
        <v>94</v>
      </c>
      <c r="E63" s="23" t="s">
        <v>131</v>
      </c>
      <c r="F63" s="23" t="s">
        <v>96</v>
      </c>
      <c r="G63" s="21">
        <v>0</v>
      </c>
      <c r="H63" s="21">
        <f>SUMIFS('表1- 本月物资进出明细账'!H:H,'表1- 本月物资进出明细账'!B:B,"入库",'表1- 本月物资进出明细账'!C:C,B:B,'表1- 本月物资进出明细账'!D:D,C:C)</f>
        <v>0</v>
      </c>
      <c r="I63" s="21">
        <f>SUMIFS('表1- 本月物资进出明细账'!H:H,'表1- 本月物资进出明细账'!B:B,"出库",'表1- 本月物资进出明细账'!C:C,B:B,'表1- 本月物资进出明细账'!D:D,C:C)</f>
        <v>0</v>
      </c>
      <c r="J63" s="21">
        <f t="shared" si="0"/>
        <v>0</v>
      </c>
      <c r="K63" s="21"/>
    </row>
    <row r="64" s="7" customFormat="1" customHeight="1" spans="1:11">
      <c r="A64" s="21">
        <f t="shared" si="1"/>
        <v>62</v>
      </c>
      <c r="B64" s="23" t="s">
        <v>137</v>
      </c>
      <c r="C64" s="23" t="s">
        <v>138</v>
      </c>
      <c r="D64" s="23" t="s">
        <v>11</v>
      </c>
      <c r="E64" s="23" t="s">
        <v>131</v>
      </c>
      <c r="F64" s="23" t="s">
        <v>96</v>
      </c>
      <c r="G64" s="21">
        <v>0</v>
      </c>
      <c r="H64" s="21">
        <f>SUMIFS('表1- 本月物资进出明细账'!H:H,'表1- 本月物资进出明细账'!B:B,"入库",'表1- 本月物资进出明细账'!C:C,B:B,'表1- 本月物资进出明细账'!D:D,C:C)</f>
        <v>0</v>
      </c>
      <c r="I64" s="21">
        <f>SUMIFS('表1- 本月物资进出明细账'!H:H,'表1- 本月物资进出明细账'!B:B,"出库",'表1- 本月物资进出明细账'!C:C,B:B,'表1- 本月物资进出明细账'!D:D,C:C)</f>
        <v>0</v>
      </c>
      <c r="J64" s="21">
        <f t="shared" si="0"/>
        <v>0</v>
      </c>
      <c r="K64" s="21"/>
    </row>
    <row r="65" s="7" customFormat="1" customHeight="1" spans="1:11">
      <c r="A65" s="21">
        <f t="shared" si="1"/>
        <v>63</v>
      </c>
      <c r="B65" s="23" t="s">
        <v>139</v>
      </c>
      <c r="C65" s="23" t="s">
        <v>136</v>
      </c>
      <c r="D65" s="23" t="s">
        <v>94</v>
      </c>
      <c r="E65" s="23" t="s">
        <v>131</v>
      </c>
      <c r="F65" s="23" t="s">
        <v>96</v>
      </c>
      <c r="G65" s="21">
        <v>4</v>
      </c>
      <c r="H65" s="21">
        <f>SUMIFS('表1- 本月物资进出明细账'!H:H,'表1- 本月物资进出明细账'!B:B,"入库",'表1- 本月物资进出明细账'!C:C,B:B,'表1- 本月物资进出明细账'!D:D,C:C)</f>
        <v>0</v>
      </c>
      <c r="I65" s="21">
        <f>SUMIFS('表1- 本月物资进出明细账'!H:H,'表1- 本月物资进出明细账'!B:B,"出库",'表1- 本月物资进出明细账'!C:C,B:B,'表1- 本月物资进出明细账'!D:D,C:C)</f>
        <v>0</v>
      </c>
      <c r="J65" s="21">
        <f t="shared" si="0"/>
        <v>4</v>
      </c>
      <c r="K65" s="21"/>
    </row>
    <row r="66" s="7" customFormat="1" customHeight="1" spans="1:11">
      <c r="A66" s="21">
        <f t="shared" si="1"/>
        <v>64</v>
      </c>
      <c r="B66" s="22" t="s">
        <v>139</v>
      </c>
      <c r="C66" s="23" t="s">
        <v>135</v>
      </c>
      <c r="D66" s="23" t="s">
        <v>94</v>
      </c>
      <c r="E66" s="23" t="s">
        <v>131</v>
      </c>
      <c r="F66" s="23" t="s">
        <v>96</v>
      </c>
      <c r="G66" s="21">
        <v>6</v>
      </c>
      <c r="H66" s="21">
        <f>SUMIFS('表1- 本月物资进出明细账'!H:H,'表1- 本月物资进出明细账'!B:B,"入库",'表1- 本月物资进出明细账'!C:C,B:B,'表1- 本月物资进出明细账'!D:D,C:C)</f>
        <v>0</v>
      </c>
      <c r="I66" s="21">
        <f>SUMIFS('表1- 本月物资进出明细账'!H:H,'表1- 本月物资进出明细账'!B:B,"出库",'表1- 本月物资进出明细账'!C:C,B:B,'表1- 本月物资进出明细账'!D:D,C:C)</f>
        <v>0</v>
      </c>
      <c r="J66" s="24">
        <f t="shared" si="0"/>
        <v>6</v>
      </c>
      <c r="K66" s="21"/>
    </row>
    <row r="67" s="7" customFormat="1" customHeight="1" spans="1:11">
      <c r="A67" s="21">
        <f t="shared" si="1"/>
        <v>65</v>
      </c>
      <c r="B67" s="22" t="s">
        <v>139</v>
      </c>
      <c r="C67" s="23" t="s">
        <v>134</v>
      </c>
      <c r="D67" s="23" t="s">
        <v>94</v>
      </c>
      <c r="E67" s="23" t="s">
        <v>131</v>
      </c>
      <c r="F67" s="23" t="s">
        <v>96</v>
      </c>
      <c r="G67" s="21">
        <v>8</v>
      </c>
      <c r="H67" s="21">
        <f>SUMIFS('表1- 本月物资进出明细账'!H:H,'表1- 本月物资进出明细账'!B:B,"入库",'表1- 本月物资进出明细账'!C:C,B:B,'表1- 本月物资进出明细账'!D:D,C:C)</f>
        <v>0</v>
      </c>
      <c r="I67" s="21">
        <f>SUMIFS('表1- 本月物资进出明细账'!H:H,'表1- 本月物资进出明细账'!B:B,"出库",'表1- 本月物资进出明细账'!C:C,B:B,'表1- 本月物资进出明细账'!D:D,C:C)</f>
        <v>0</v>
      </c>
      <c r="J67" s="24">
        <f t="shared" ref="J67:J130" si="2">G67+H67-I67</f>
        <v>8</v>
      </c>
      <c r="K67" s="21"/>
    </row>
    <row r="68" s="7" customFormat="1" customHeight="1" spans="1:11">
      <c r="A68" s="21">
        <f t="shared" ref="A68:A131" si="3">ROW()-2</f>
        <v>66</v>
      </c>
      <c r="B68" s="22" t="s">
        <v>139</v>
      </c>
      <c r="C68" s="23" t="s">
        <v>133</v>
      </c>
      <c r="D68" s="23" t="s">
        <v>94</v>
      </c>
      <c r="E68" s="23" t="s">
        <v>131</v>
      </c>
      <c r="F68" s="23" t="s">
        <v>96</v>
      </c>
      <c r="G68" s="21">
        <v>2</v>
      </c>
      <c r="H68" s="21">
        <f>SUMIFS('表1- 本月物资进出明细账'!H:H,'表1- 本月物资进出明细账'!B:B,"入库",'表1- 本月物资进出明细账'!C:C,B:B,'表1- 本月物资进出明细账'!D:D,C:C)</f>
        <v>0</v>
      </c>
      <c r="I68" s="21">
        <f>SUMIFS('表1- 本月物资进出明细账'!H:H,'表1- 本月物资进出明细账'!B:B,"出库",'表1- 本月物资进出明细账'!C:C,B:B,'表1- 本月物资进出明细账'!D:D,C:C)</f>
        <v>0</v>
      </c>
      <c r="J68" s="24">
        <f t="shared" si="2"/>
        <v>2</v>
      </c>
      <c r="K68" s="21"/>
    </row>
    <row r="69" s="7" customFormat="1" customHeight="1" spans="1:11">
      <c r="A69" s="21">
        <f t="shared" si="3"/>
        <v>67</v>
      </c>
      <c r="B69" s="22" t="s">
        <v>139</v>
      </c>
      <c r="C69" s="23" t="s">
        <v>132</v>
      </c>
      <c r="D69" s="23" t="s">
        <v>94</v>
      </c>
      <c r="E69" s="23" t="s">
        <v>131</v>
      </c>
      <c r="F69" s="23" t="s">
        <v>96</v>
      </c>
      <c r="G69" s="21">
        <v>1</v>
      </c>
      <c r="H69" s="21">
        <f>SUMIFS('表1- 本月物资进出明细账'!H:H,'表1- 本月物资进出明细账'!B:B,"入库",'表1- 本月物资进出明细账'!C:C,B:B,'表1- 本月物资进出明细账'!D:D,C:C)</f>
        <v>0</v>
      </c>
      <c r="I69" s="21">
        <f>SUMIFS('表1- 本月物资进出明细账'!H:H,'表1- 本月物资进出明细账'!B:B,"出库",'表1- 本月物资进出明细账'!C:C,B:B,'表1- 本月物资进出明细账'!D:D,C:C)</f>
        <v>0</v>
      </c>
      <c r="J69" s="24">
        <f t="shared" si="2"/>
        <v>1</v>
      </c>
      <c r="K69" s="21"/>
    </row>
    <row r="70" s="7" customFormat="1" customHeight="1" spans="1:11">
      <c r="A70" s="21">
        <f t="shared" si="3"/>
        <v>68</v>
      </c>
      <c r="B70" s="22" t="s">
        <v>139</v>
      </c>
      <c r="C70" s="23" t="s">
        <v>130</v>
      </c>
      <c r="D70" s="23" t="s">
        <v>94</v>
      </c>
      <c r="E70" s="23" t="s">
        <v>131</v>
      </c>
      <c r="F70" s="23" t="s">
        <v>96</v>
      </c>
      <c r="G70" s="21">
        <v>0</v>
      </c>
      <c r="H70" s="21">
        <f>SUMIFS('表1- 本月物资进出明细账'!H:H,'表1- 本月物资进出明细账'!B:B,"入库",'表1- 本月物资进出明细账'!C:C,B:B,'表1- 本月物资进出明细账'!D:D,C:C)</f>
        <v>0</v>
      </c>
      <c r="I70" s="21">
        <f>SUMIFS('表1- 本月物资进出明细账'!H:H,'表1- 本月物资进出明细账'!B:B,"出库",'表1- 本月物资进出明细账'!C:C,B:B,'表1- 本月物资进出明细账'!D:D,C:C)</f>
        <v>0</v>
      </c>
      <c r="J70" s="24">
        <f t="shared" si="2"/>
        <v>0</v>
      </c>
      <c r="K70" s="21"/>
    </row>
    <row r="71" s="7" customFormat="1" customHeight="1" spans="1:11">
      <c r="A71" s="21">
        <f t="shared" si="3"/>
        <v>69</v>
      </c>
      <c r="B71" s="23" t="s">
        <v>140</v>
      </c>
      <c r="C71" s="23" t="s">
        <v>136</v>
      </c>
      <c r="D71" s="23" t="s">
        <v>94</v>
      </c>
      <c r="E71" s="23" t="s">
        <v>131</v>
      </c>
      <c r="F71" s="23" t="s">
        <v>96</v>
      </c>
      <c r="G71" s="21">
        <v>0</v>
      </c>
      <c r="H71" s="21">
        <f>SUMIFS('表1- 本月物资进出明细账'!H:H,'表1- 本月物资进出明细账'!B:B,"入库",'表1- 本月物资进出明细账'!C:C,B:B,'表1- 本月物资进出明细账'!D:D,C:C)</f>
        <v>0</v>
      </c>
      <c r="I71" s="21">
        <f>SUMIFS('表1- 本月物资进出明细账'!H:H,'表1- 本月物资进出明细账'!B:B,"出库",'表1- 本月物资进出明细账'!C:C,B:B,'表1- 本月物资进出明细账'!D:D,C:C)</f>
        <v>0</v>
      </c>
      <c r="J71" s="21">
        <f t="shared" si="2"/>
        <v>0</v>
      </c>
      <c r="K71" s="21"/>
    </row>
    <row r="72" s="7" customFormat="1" customHeight="1" spans="1:11">
      <c r="A72" s="21">
        <f t="shared" si="3"/>
        <v>70</v>
      </c>
      <c r="B72" s="23" t="s">
        <v>140</v>
      </c>
      <c r="C72" s="23" t="s">
        <v>135</v>
      </c>
      <c r="D72" s="23" t="s">
        <v>94</v>
      </c>
      <c r="E72" s="23" t="s">
        <v>131</v>
      </c>
      <c r="F72" s="23" t="s">
        <v>96</v>
      </c>
      <c r="G72" s="21">
        <v>0</v>
      </c>
      <c r="H72" s="21">
        <f>SUMIFS('表1- 本月物资进出明细账'!H:H,'表1- 本月物资进出明细账'!B:B,"入库",'表1- 本月物资进出明细账'!C:C,B:B,'表1- 本月物资进出明细账'!D:D,C:C)</f>
        <v>0</v>
      </c>
      <c r="I72" s="21">
        <f>SUMIFS('表1- 本月物资进出明细账'!H:H,'表1- 本月物资进出明细账'!B:B,"出库",'表1- 本月物资进出明细账'!C:C,B:B,'表1- 本月物资进出明细账'!D:D,C:C)</f>
        <v>0</v>
      </c>
      <c r="J72" s="21">
        <f t="shared" si="2"/>
        <v>0</v>
      </c>
      <c r="K72" s="21"/>
    </row>
    <row r="73" s="7" customFormat="1" customHeight="1" spans="1:11">
      <c r="A73" s="21">
        <f t="shared" si="3"/>
        <v>71</v>
      </c>
      <c r="B73" s="22" t="s">
        <v>140</v>
      </c>
      <c r="C73" s="23" t="s">
        <v>134</v>
      </c>
      <c r="D73" s="23" t="s">
        <v>94</v>
      </c>
      <c r="E73" s="23" t="s">
        <v>131</v>
      </c>
      <c r="F73" s="23" t="s">
        <v>96</v>
      </c>
      <c r="G73" s="21">
        <v>5</v>
      </c>
      <c r="H73" s="21">
        <f>SUMIFS('表1- 本月物资进出明细账'!H:H,'表1- 本月物资进出明细账'!B:B,"入库",'表1- 本月物资进出明细账'!C:C,B:B,'表1- 本月物资进出明细账'!D:D,C:C)</f>
        <v>0</v>
      </c>
      <c r="I73" s="21">
        <f>SUMIFS('表1- 本月物资进出明细账'!H:H,'表1- 本月物资进出明细账'!B:B,"出库",'表1- 本月物资进出明细账'!C:C,B:B,'表1- 本月物资进出明细账'!D:D,C:C)</f>
        <v>0</v>
      </c>
      <c r="J73" s="21">
        <f t="shared" si="2"/>
        <v>5</v>
      </c>
      <c r="K73" s="21"/>
    </row>
    <row r="74" s="7" customFormat="1" customHeight="1" spans="1:11">
      <c r="A74" s="21">
        <f t="shared" si="3"/>
        <v>72</v>
      </c>
      <c r="B74" s="22" t="s">
        <v>140</v>
      </c>
      <c r="C74" s="23" t="s">
        <v>133</v>
      </c>
      <c r="D74" s="23" t="s">
        <v>94</v>
      </c>
      <c r="E74" s="23" t="s">
        <v>131</v>
      </c>
      <c r="F74" s="23" t="s">
        <v>96</v>
      </c>
      <c r="G74" s="21">
        <v>8</v>
      </c>
      <c r="H74" s="21">
        <f>SUMIFS('表1- 本月物资进出明细账'!H:H,'表1- 本月物资进出明细账'!B:B,"入库",'表1- 本月物资进出明细账'!C:C,B:B,'表1- 本月物资进出明细账'!D:D,C:C)</f>
        <v>0</v>
      </c>
      <c r="I74" s="21">
        <f>SUMIFS('表1- 本月物资进出明细账'!H:H,'表1- 本月物资进出明细账'!B:B,"出库",'表1- 本月物资进出明细账'!C:C,B:B,'表1- 本月物资进出明细账'!D:D,C:C)</f>
        <v>3</v>
      </c>
      <c r="J74" s="24">
        <f t="shared" si="2"/>
        <v>5</v>
      </c>
      <c r="K74" s="21"/>
    </row>
    <row r="75" s="7" customFormat="1" customHeight="1" spans="1:11">
      <c r="A75" s="21">
        <f t="shared" si="3"/>
        <v>73</v>
      </c>
      <c r="B75" s="22" t="s">
        <v>140</v>
      </c>
      <c r="C75" s="23" t="s">
        <v>132</v>
      </c>
      <c r="D75" s="23" t="s">
        <v>94</v>
      </c>
      <c r="E75" s="23" t="s">
        <v>131</v>
      </c>
      <c r="F75" s="23" t="s">
        <v>96</v>
      </c>
      <c r="G75" s="21">
        <v>2</v>
      </c>
      <c r="H75" s="21">
        <f>SUMIFS('表1- 本月物资进出明细账'!H:H,'表1- 本月物资进出明细账'!B:B,"入库",'表1- 本月物资进出明细账'!C:C,B:B,'表1- 本月物资进出明细账'!D:D,C:C)</f>
        <v>0</v>
      </c>
      <c r="I75" s="21">
        <f>SUMIFS('表1- 本月物资进出明细账'!H:H,'表1- 本月物资进出明细账'!B:B,"出库",'表1- 本月物资进出明细账'!C:C,B:B,'表1- 本月物资进出明细账'!D:D,C:C)</f>
        <v>0</v>
      </c>
      <c r="J75" s="21">
        <f t="shared" si="2"/>
        <v>2</v>
      </c>
      <c r="K75" s="21"/>
    </row>
    <row r="76" s="7" customFormat="1" customHeight="1" spans="1:11">
      <c r="A76" s="21">
        <f t="shared" si="3"/>
        <v>74</v>
      </c>
      <c r="B76" s="23" t="s">
        <v>140</v>
      </c>
      <c r="C76" s="23" t="s">
        <v>130</v>
      </c>
      <c r="D76" s="23" t="s">
        <v>94</v>
      </c>
      <c r="E76" s="23" t="s">
        <v>131</v>
      </c>
      <c r="F76" s="23" t="s">
        <v>96</v>
      </c>
      <c r="G76" s="21">
        <v>0</v>
      </c>
      <c r="H76" s="21">
        <f>SUMIFS('表1- 本月物资进出明细账'!H:H,'表1- 本月物资进出明细账'!B:B,"入库",'表1- 本月物资进出明细账'!C:C,B:B,'表1- 本月物资进出明细账'!D:D,C:C)</f>
        <v>0</v>
      </c>
      <c r="I76" s="21">
        <f>SUMIFS('表1- 本月物资进出明细账'!H:H,'表1- 本月物资进出明细账'!B:B,"出库",'表1- 本月物资进出明细账'!C:C,B:B,'表1- 本月物资进出明细账'!D:D,C:C)</f>
        <v>0</v>
      </c>
      <c r="J76" s="21">
        <f t="shared" si="2"/>
        <v>0</v>
      </c>
      <c r="K76" s="21"/>
    </row>
    <row r="77" s="7" customFormat="1" customHeight="1" spans="1:11">
      <c r="A77" s="21">
        <f t="shared" si="3"/>
        <v>75</v>
      </c>
      <c r="B77" s="22" t="s">
        <v>141</v>
      </c>
      <c r="C77" s="23" t="s">
        <v>142</v>
      </c>
      <c r="D77" s="23" t="s">
        <v>11</v>
      </c>
      <c r="E77" s="23" t="s">
        <v>131</v>
      </c>
      <c r="F77" s="23" t="s">
        <v>96</v>
      </c>
      <c r="G77" s="21">
        <v>6</v>
      </c>
      <c r="H77" s="21">
        <f>SUMIFS('表1- 本月物资进出明细账'!H:H,'表1- 本月物资进出明细账'!B:B,"入库",'表1- 本月物资进出明细账'!C:C,B:B,'表1- 本月物资进出明细账'!D:D,C:C)</f>
        <v>0</v>
      </c>
      <c r="I77" s="21">
        <f>SUMIFS('表1- 本月物资进出明细账'!H:H,'表1- 本月物资进出明细账'!B:B,"出库",'表1- 本月物资进出明细账'!C:C,B:B,'表1- 本月物资进出明细账'!D:D,C:C)</f>
        <v>2</v>
      </c>
      <c r="J77" s="24">
        <f t="shared" si="2"/>
        <v>4</v>
      </c>
      <c r="K77" s="21"/>
    </row>
    <row r="78" s="7" customFormat="1" customHeight="1" spans="1:11">
      <c r="A78" s="21">
        <f t="shared" si="3"/>
        <v>76</v>
      </c>
      <c r="B78" s="23" t="s">
        <v>143</v>
      </c>
      <c r="C78" s="23" t="s">
        <v>136</v>
      </c>
      <c r="D78" s="23" t="s">
        <v>94</v>
      </c>
      <c r="E78" s="23" t="s">
        <v>131</v>
      </c>
      <c r="F78" s="23" t="s">
        <v>96</v>
      </c>
      <c r="G78" s="21">
        <v>0</v>
      </c>
      <c r="H78" s="21">
        <f>SUMIFS('表1- 本月物资进出明细账'!H:H,'表1- 本月物资进出明细账'!B:B,"入库",'表1- 本月物资进出明细账'!C:C,B:B,'表1- 本月物资进出明细账'!D:D,C:C)</f>
        <v>0</v>
      </c>
      <c r="I78" s="21">
        <f>SUMIFS('表1- 本月物资进出明细账'!H:H,'表1- 本月物资进出明细账'!B:B,"出库",'表1- 本月物资进出明细账'!C:C,B:B,'表1- 本月物资进出明细账'!D:D,C:C)</f>
        <v>0</v>
      </c>
      <c r="J78" s="21">
        <f t="shared" si="2"/>
        <v>0</v>
      </c>
      <c r="K78" s="21"/>
    </row>
    <row r="79" s="7" customFormat="1" customHeight="1" spans="1:11">
      <c r="A79" s="21">
        <f t="shared" si="3"/>
        <v>77</v>
      </c>
      <c r="B79" s="23" t="s">
        <v>143</v>
      </c>
      <c r="C79" s="23" t="s">
        <v>135</v>
      </c>
      <c r="D79" s="23" t="s">
        <v>94</v>
      </c>
      <c r="E79" s="23" t="s">
        <v>131</v>
      </c>
      <c r="F79" s="23" t="s">
        <v>96</v>
      </c>
      <c r="G79" s="21">
        <v>0</v>
      </c>
      <c r="H79" s="21">
        <f>SUMIFS('表1- 本月物资进出明细账'!H:H,'表1- 本月物资进出明细账'!B:B,"入库",'表1- 本月物资进出明细账'!C:C,B:B,'表1- 本月物资进出明细账'!D:D,C:C)</f>
        <v>0</v>
      </c>
      <c r="I79" s="21">
        <f>SUMIFS('表1- 本月物资进出明细账'!H:H,'表1- 本月物资进出明细账'!B:B,"出库",'表1- 本月物资进出明细账'!C:C,B:B,'表1- 本月物资进出明细账'!D:D,C:C)</f>
        <v>0</v>
      </c>
      <c r="J79" s="21">
        <f t="shared" si="2"/>
        <v>0</v>
      </c>
      <c r="K79" s="21"/>
    </row>
    <row r="80" s="7" customFormat="1" customHeight="1" spans="1:11">
      <c r="A80" s="21">
        <f t="shared" si="3"/>
        <v>78</v>
      </c>
      <c r="B80" s="23" t="s">
        <v>143</v>
      </c>
      <c r="C80" s="23" t="s">
        <v>134</v>
      </c>
      <c r="D80" s="23" t="s">
        <v>94</v>
      </c>
      <c r="E80" s="23" t="s">
        <v>131</v>
      </c>
      <c r="F80" s="23" t="s">
        <v>96</v>
      </c>
      <c r="G80" s="21">
        <v>0</v>
      </c>
      <c r="H80" s="21">
        <f>SUMIFS('表1- 本月物资进出明细账'!H:H,'表1- 本月物资进出明细账'!B:B,"入库",'表1- 本月物资进出明细账'!C:C,B:B,'表1- 本月物资进出明细账'!D:D,C:C)</f>
        <v>0</v>
      </c>
      <c r="I80" s="21">
        <f>SUMIFS('表1- 本月物资进出明细账'!H:H,'表1- 本月物资进出明细账'!B:B,"出库",'表1- 本月物资进出明细账'!C:C,B:B,'表1- 本月物资进出明细账'!D:D,C:C)</f>
        <v>0</v>
      </c>
      <c r="J80" s="26">
        <f t="shared" si="2"/>
        <v>0</v>
      </c>
      <c r="K80" s="21"/>
    </row>
    <row r="81" s="7" customFormat="1" customHeight="1" spans="1:11">
      <c r="A81" s="21">
        <f t="shared" si="3"/>
        <v>79</v>
      </c>
      <c r="B81" s="23" t="s">
        <v>143</v>
      </c>
      <c r="C81" s="23" t="s">
        <v>133</v>
      </c>
      <c r="D81" s="23" t="s">
        <v>94</v>
      </c>
      <c r="E81" s="23" t="s">
        <v>131</v>
      </c>
      <c r="F81" s="23" t="s">
        <v>96</v>
      </c>
      <c r="G81" s="21">
        <v>0</v>
      </c>
      <c r="H81" s="21">
        <f>SUMIFS('表1- 本月物资进出明细账'!H:H,'表1- 本月物资进出明细账'!B:B,"入库",'表1- 本月物资进出明细账'!C:C,B:B,'表1- 本月物资进出明细账'!D:D,C:C)</f>
        <v>0</v>
      </c>
      <c r="I81" s="21">
        <f>SUMIFS('表1- 本月物资进出明细账'!H:H,'表1- 本月物资进出明细账'!B:B,"出库",'表1- 本月物资进出明细账'!C:C,B:B,'表1- 本月物资进出明细账'!D:D,C:C)</f>
        <v>0</v>
      </c>
      <c r="J81" s="26">
        <f t="shared" si="2"/>
        <v>0</v>
      </c>
      <c r="K81" s="21"/>
    </row>
    <row r="82" s="7" customFormat="1" customHeight="1" spans="1:11">
      <c r="A82" s="21">
        <f t="shared" si="3"/>
        <v>80</v>
      </c>
      <c r="B82" s="23" t="s">
        <v>143</v>
      </c>
      <c r="C82" s="23" t="s">
        <v>132</v>
      </c>
      <c r="D82" s="23" t="s">
        <v>94</v>
      </c>
      <c r="E82" s="23" t="s">
        <v>131</v>
      </c>
      <c r="F82" s="23" t="s">
        <v>96</v>
      </c>
      <c r="G82" s="21">
        <v>0</v>
      </c>
      <c r="H82" s="21">
        <f>SUMIFS('表1- 本月物资进出明细账'!H:H,'表1- 本月物资进出明细账'!B:B,"入库",'表1- 本月物资进出明细账'!C:C,B:B,'表1- 本月物资进出明细账'!D:D,C:C)</f>
        <v>0</v>
      </c>
      <c r="I82" s="21">
        <f>SUMIFS('表1- 本月物资进出明细账'!H:H,'表1- 本月物资进出明细账'!B:B,"出库",'表1- 本月物资进出明细账'!C:C,B:B,'表1- 本月物资进出明细账'!D:D,C:C)</f>
        <v>0</v>
      </c>
      <c r="J82" s="26">
        <f t="shared" si="2"/>
        <v>0</v>
      </c>
      <c r="K82" s="21"/>
    </row>
    <row r="83" s="7" customFormat="1" customHeight="1" spans="1:11">
      <c r="A83" s="21">
        <f t="shared" si="3"/>
        <v>81</v>
      </c>
      <c r="B83" s="23" t="s">
        <v>143</v>
      </c>
      <c r="C83" s="23" t="s">
        <v>130</v>
      </c>
      <c r="D83" s="23" t="s">
        <v>94</v>
      </c>
      <c r="E83" s="23" t="s">
        <v>131</v>
      </c>
      <c r="F83" s="23" t="s">
        <v>96</v>
      </c>
      <c r="G83" s="21">
        <v>0</v>
      </c>
      <c r="H83" s="21">
        <f>SUMIFS('表1- 本月物资进出明细账'!H:H,'表1- 本月物资进出明细账'!B:B,"入库",'表1- 本月物资进出明细账'!C:C,B:B,'表1- 本月物资进出明细账'!D:D,C:C)</f>
        <v>0</v>
      </c>
      <c r="I83" s="21">
        <f>SUMIFS('表1- 本月物资进出明细账'!H:H,'表1- 本月物资进出明细账'!B:B,"出库",'表1- 本月物资进出明细账'!C:C,B:B,'表1- 本月物资进出明细账'!D:D,C:C)</f>
        <v>0</v>
      </c>
      <c r="J83" s="21">
        <f t="shared" si="2"/>
        <v>0</v>
      </c>
      <c r="K83" s="21"/>
    </row>
    <row r="84" s="7" customFormat="1" customHeight="1" spans="1:11">
      <c r="A84" s="21">
        <f t="shared" si="3"/>
        <v>82</v>
      </c>
      <c r="B84" s="23" t="s">
        <v>144</v>
      </c>
      <c r="C84" s="23" t="s">
        <v>145</v>
      </c>
      <c r="D84" s="23" t="s">
        <v>74</v>
      </c>
      <c r="E84" s="23" t="s">
        <v>146</v>
      </c>
      <c r="F84" s="23" t="s">
        <v>146</v>
      </c>
      <c r="G84" s="21">
        <v>0</v>
      </c>
      <c r="H84" s="21">
        <f>SUMIFS('表1- 本月物资进出明细账'!H:H,'表1- 本月物资进出明细账'!B:B,"入库",'表1- 本月物资进出明细账'!C:C,B:B,'表1- 本月物资进出明细账'!D:D,C:C)</f>
        <v>0</v>
      </c>
      <c r="I84" s="21">
        <f>SUMIFS('表1- 本月物资进出明细账'!H:H,'表1- 本月物资进出明细账'!B:B,"出库",'表1- 本月物资进出明细账'!C:C,B:B,'表1- 本月物资进出明细账'!D:D,C:C)</f>
        <v>0</v>
      </c>
      <c r="J84" s="26">
        <f t="shared" si="2"/>
        <v>0</v>
      </c>
      <c r="K84" s="21"/>
    </row>
    <row r="85" s="7" customFormat="1" customHeight="1" spans="1:11">
      <c r="A85" s="21">
        <f t="shared" si="3"/>
        <v>83</v>
      </c>
      <c r="B85" s="23" t="s">
        <v>147</v>
      </c>
      <c r="C85" s="23" t="s">
        <v>148</v>
      </c>
      <c r="D85" s="23" t="s">
        <v>51</v>
      </c>
      <c r="E85" s="23" t="s">
        <v>146</v>
      </c>
      <c r="F85" s="23" t="s">
        <v>146</v>
      </c>
      <c r="G85" s="21">
        <v>0</v>
      </c>
      <c r="H85" s="21">
        <f>SUMIFS('表1- 本月物资进出明细账'!H:H,'表1- 本月物资进出明细账'!B:B,"入库",'表1- 本月物资进出明细账'!C:C,B:B,'表1- 本月物资进出明细账'!D:D,C:C)</f>
        <v>0</v>
      </c>
      <c r="I85" s="21">
        <f>SUMIFS('表1- 本月物资进出明细账'!H:H,'表1- 本月物资进出明细账'!B:B,"出库",'表1- 本月物资进出明细账'!C:C,B:B,'表1- 本月物资进出明细账'!D:D,C:C)</f>
        <v>0</v>
      </c>
      <c r="J85" s="26">
        <f t="shared" si="2"/>
        <v>0</v>
      </c>
      <c r="K85" s="21"/>
    </row>
    <row r="86" s="7" customFormat="1" customHeight="1" spans="1:11">
      <c r="A86" s="21">
        <f t="shared" si="3"/>
        <v>84</v>
      </c>
      <c r="B86" s="23" t="s">
        <v>149</v>
      </c>
      <c r="C86" s="23" t="s">
        <v>150</v>
      </c>
      <c r="D86" s="23" t="s">
        <v>51</v>
      </c>
      <c r="E86" s="23" t="s">
        <v>146</v>
      </c>
      <c r="F86" s="23" t="s">
        <v>146</v>
      </c>
      <c r="G86" s="21">
        <v>0</v>
      </c>
      <c r="H86" s="21">
        <f>SUMIFS('表1- 本月物资进出明细账'!H:H,'表1- 本月物资进出明细账'!B:B,"入库",'表1- 本月物资进出明细账'!C:C,B:B,'表1- 本月物资进出明细账'!D:D,C:C)</f>
        <v>0</v>
      </c>
      <c r="I86" s="21">
        <f>SUMIFS('表1- 本月物资进出明细账'!H:H,'表1- 本月物资进出明细账'!B:B,"出库",'表1- 本月物资进出明细账'!C:C,B:B,'表1- 本月物资进出明细账'!D:D,C:C)</f>
        <v>0</v>
      </c>
      <c r="J86" s="26">
        <f t="shared" si="2"/>
        <v>0</v>
      </c>
      <c r="K86" s="21"/>
    </row>
    <row r="87" customHeight="1" spans="1:11">
      <c r="A87" s="21">
        <f t="shared" si="3"/>
        <v>85</v>
      </c>
      <c r="B87" s="23" t="s">
        <v>149</v>
      </c>
      <c r="C87" s="23" t="s">
        <v>151</v>
      </c>
      <c r="D87" s="23" t="s">
        <v>152</v>
      </c>
      <c r="E87" s="23" t="s">
        <v>146</v>
      </c>
      <c r="F87" s="23" t="s">
        <v>146</v>
      </c>
      <c r="G87" s="21">
        <v>0</v>
      </c>
      <c r="H87" s="21">
        <f>SUMIFS('表1- 本月物资进出明细账'!H:H,'表1- 本月物资进出明细账'!B:B,"入库",'表1- 本月物资进出明细账'!C:C,B:B,'表1- 本月物资进出明细账'!D:D,C:C)</f>
        <v>0</v>
      </c>
      <c r="I87" s="21">
        <f>SUMIFS('表1- 本月物资进出明细账'!H:H,'表1- 本月物资进出明细账'!B:B,"出库",'表1- 本月物资进出明细账'!C:C,B:B,'表1- 本月物资进出明细账'!D:D,C:C)</f>
        <v>0</v>
      </c>
      <c r="J87" s="21">
        <f t="shared" si="2"/>
        <v>0</v>
      </c>
      <c r="K87" s="21"/>
    </row>
    <row r="88" s="7" customFormat="1" customHeight="1" spans="1:11">
      <c r="A88" s="21">
        <f t="shared" si="3"/>
        <v>86</v>
      </c>
      <c r="B88" s="23" t="s">
        <v>100</v>
      </c>
      <c r="C88" s="23" t="s">
        <v>153</v>
      </c>
      <c r="D88" s="23" t="s">
        <v>102</v>
      </c>
      <c r="E88" s="23" t="s">
        <v>146</v>
      </c>
      <c r="F88" s="23" t="s">
        <v>146</v>
      </c>
      <c r="G88" s="21">
        <v>0</v>
      </c>
      <c r="H88" s="21">
        <f>SUMIFS('表1- 本月物资进出明细账'!H:H,'表1- 本月物资进出明细账'!B:B,"入库",'表1- 本月物资进出明细账'!C:C,B:B,'表1- 本月物资进出明细账'!D:D,C:C)</f>
        <v>0</v>
      </c>
      <c r="I88" s="21">
        <f>SUMIFS('表1- 本月物资进出明细账'!H:H,'表1- 本月物资进出明细账'!B:B,"出库",'表1- 本月物资进出明细账'!C:C,B:B,'表1- 本月物资进出明细账'!D:D,C:C)</f>
        <v>0</v>
      </c>
      <c r="J88" s="26">
        <f t="shared" si="2"/>
        <v>0</v>
      </c>
      <c r="K88" s="21"/>
    </row>
    <row r="89" s="7" customFormat="1" customHeight="1" spans="1:11">
      <c r="A89" s="21">
        <f t="shared" si="3"/>
        <v>87</v>
      </c>
      <c r="B89" s="22" t="s">
        <v>154</v>
      </c>
      <c r="C89" s="23" t="s">
        <v>155</v>
      </c>
      <c r="D89" s="23" t="s">
        <v>156</v>
      </c>
      <c r="E89" s="23" t="s">
        <v>146</v>
      </c>
      <c r="F89" s="23" t="s">
        <v>146</v>
      </c>
      <c r="G89" s="21">
        <v>0</v>
      </c>
      <c r="H89" s="21">
        <f>SUMIFS('表1- 本月物资进出明细账'!H:H,'表1- 本月物资进出明细账'!B:B,"入库",'表1- 本月物资进出明细账'!C:C,B:B,'表1- 本月物资进出明细账'!D:D,C:C)</f>
        <v>0</v>
      </c>
      <c r="I89" s="21">
        <f>SUMIFS('表1- 本月物资进出明细账'!H:H,'表1- 本月物资进出明细账'!B:B,"出库",'表1- 本月物资进出明细账'!C:C,B:B,'表1- 本月物资进出明细账'!D:D,C:C)</f>
        <v>0</v>
      </c>
      <c r="J89" s="24">
        <f t="shared" si="2"/>
        <v>0</v>
      </c>
      <c r="K89" s="21"/>
    </row>
    <row r="90" s="7" customFormat="1" customHeight="1" spans="1:11">
      <c r="A90" s="21">
        <f t="shared" si="3"/>
        <v>88</v>
      </c>
      <c r="B90" s="22" t="s">
        <v>157</v>
      </c>
      <c r="C90" s="23" t="s">
        <v>158</v>
      </c>
      <c r="D90" s="23" t="s">
        <v>51</v>
      </c>
      <c r="E90" s="23" t="s">
        <v>146</v>
      </c>
      <c r="F90" s="23" t="s">
        <v>146</v>
      </c>
      <c r="G90" s="21">
        <v>2</v>
      </c>
      <c r="H90" s="21">
        <f>SUMIFS('表1- 本月物资进出明细账'!H:H,'表1- 本月物资进出明细账'!B:B,"入库",'表1- 本月物资进出明细账'!C:C,B:B,'表1- 本月物资进出明细账'!D:D,C:C)</f>
        <v>0</v>
      </c>
      <c r="I90" s="21">
        <f>SUMIFS('表1- 本月物资进出明细账'!H:H,'表1- 本月物资进出明细账'!B:B,"出库",'表1- 本月物资进出明细账'!C:C,B:B,'表1- 本月物资进出明细账'!D:D,C:C)</f>
        <v>0</v>
      </c>
      <c r="J90" s="24">
        <f t="shared" si="2"/>
        <v>2</v>
      </c>
      <c r="K90" s="21"/>
    </row>
    <row r="91" s="7" customFormat="1" customHeight="1" spans="1:11">
      <c r="A91" s="21">
        <f t="shared" si="3"/>
        <v>89</v>
      </c>
      <c r="B91" s="23" t="s">
        <v>157</v>
      </c>
      <c r="C91" s="23" t="s">
        <v>159</v>
      </c>
      <c r="D91" s="23" t="s">
        <v>156</v>
      </c>
      <c r="E91" s="23" t="s">
        <v>146</v>
      </c>
      <c r="F91" s="23" t="s">
        <v>146</v>
      </c>
      <c r="G91" s="21">
        <v>0</v>
      </c>
      <c r="H91" s="21">
        <f>SUMIFS('表1- 本月物资进出明细账'!H:H,'表1- 本月物资进出明细账'!B:B,"入库",'表1- 本月物资进出明细账'!C:C,B:B,'表1- 本月物资进出明细账'!D:D,C:C)</f>
        <v>0</v>
      </c>
      <c r="I91" s="21">
        <f>SUMIFS('表1- 本月物资进出明细账'!H:H,'表1- 本月物资进出明细账'!B:B,"出库",'表1- 本月物资进出明细账'!C:C,B:B,'表1- 本月物资进出明细账'!D:D,C:C)</f>
        <v>0</v>
      </c>
      <c r="J91" s="21">
        <f t="shared" si="2"/>
        <v>0</v>
      </c>
      <c r="K91" s="21"/>
    </row>
    <row r="92" customHeight="1" spans="1:11">
      <c r="A92" s="21">
        <f t="shared" si="3"/>
        <v>90</v>
      </c>
      <c r="B92" s="23" t="s">
        <v>160</v>
      </c>
      <c r="C92" s="23" t="s">
        <v>161</v>
      </c>
      <c r="D92" s="23" t="s">
        <v>162</v>
      </c>
      <c r="E92" s="23" t="s">
        <v>146</v>
      </c>
      <c r="F92" s="23" t="s">
        <v>146</v>
      </c>
      <c r="G92" s="21">
        <v>0</v>
      </c>
      <c r="H92" s="21">
        <f>SUMIFS('表1- 本月物资进出明细账'!H:H,'表1- 本月物资进出明细账'!B:B,"入库",'表1- 本月物资进出明细账'!C:C,B:B,'表1- 本月物资进出明细账'!D:D,C:C)</f>
        <v>0</v>
      </c>
      <c r="I92" s="21">
        <f>SUMIFS('表1- 本月物资进出明细账'!H:H,'表1- 本月物资进出明细账'!B:B,"出库",'表1- 本月物资进出明细账'!C:C,B:B,'表1- 本月物资进出明细账'!D:D,C:C)</f>
        <v>0</v>
      </c>
      <c r="J92" s="26">
        <f t="shared" si="2"/>
        <v>0</v>
      </c>
      <c r="K92" s="21"/>
    </row>
    <row r="93" s="7" customFormat="1" customHeight="1" spans="1:11">
      <c r="A93" s="21">
        <f t="shared" si="3"/>
        <v>91</v>
      </c>
      <c r="B93" s="23" t="s">
        <v>163</v>
      </c>
      <c r="C93" s="23" t="s">
        <v>164</v>
      </c>
      <c r="D93" s="23" t="s">
        <v>165</v>
      </c>
      <c r="E93" s="23" t="s">
        <v>146</v>
      </c>
      <c r="F93" s="23" t="s">
        <v>146</v>
      </c>
      <c r="G93" s="21">
        <v>0</v>
      </c>
      <c r="H93" s="21">
        <f>SUMIFS('表1- 本月物资进出明细账'!H:H,'表1- 本月物资进出明细账'!B:B,"入库",'表1- 本月物资进出明细账'!C:C,B:B,'表1- 本月物资进出明细账'!D:D,C:C)</f>
        <v>0</v>
      </c>
      <c r="I93" s="21">
        <f>SUMIFS('表1- 本月物资进出明细账'!H:H,'表1- 本月物资进出明细账'!B:B,"出库",'表1- 本月物资进出明细账'!C:C,B:B,'表1- 本月物资进出明细账'!D:D,C:C)</f>
        <v>0</v>
      </c>
      <c r="J93" s="26">
        <f t="shared" si="2"/>
        <v>0</v>
      </c>
      <c r="K93" s="21"/>
    </row>
    <row r="94" s="7" customFormat="1" customHeight="1" spans="1:11">
      <c r="A94" s="21">
        <f t="shared" si="3"/>
        <v>92</v>
      </c>
      <c r="B94" s="23" t="s">
        <v>166</v>
      </c>
      <c r="C94" s="23" t="s">
        <v>167</v>
      </c>
      <c r="D94" s="23" t="s">
        <v>165</v>
      </c>
      <c r="E94" s="23" t="s">
        <v>146</v>
      </c>
      <c r="F94" s="23" t="s">
        <v>146</v>
      </c>
      <c r="G94" s="21">
        <v>0</v>
      </c>
      <c r="H94" s="21">
        <f>SUMIFS('表1- 本月物资进出明细账'!H:H,'表1- 本月物资进出明细账'!B:B,"入库",'表1- 本月物资进出明细账'!C:C,B:B,'表1- 本月物资进出明细账'!D:D,C:C)</f>
        <v>0</v>
      </c>
      <c r="I94" s="21">
        <f>SUMIFS('表1- 本月物资进出明细账'!H:H,'表1- 本月物资进出明细账'!B:B,"出库",'表1- 本月物资进出明细账'!C:C,B:B,'表1- 本月物资进出明细账'!D:D,C:C)</f>
        <v>0</v>
      </c>
      <c r="J94" s="26">
        <f t="shared" si="2"/>
        <v>0</v>
      </c>
      <c r="K94" s="21"/>
    </row>
    <row r="95" s="7" customFormat="1" customHeight="1" spans="1:11">
      <c r="A95" s="21">
        <f t="shared" si="3"/>
        <v>93</v>
      </c>
      <c r="B95" s="23" t="s">
        <v>168</v>
      </c>
      <c r="C95" s="23" t="s">
        <v>169</v>
      </c>
      <c r="D95" s="23" t="s">
        <v>22</v>
      </c>
      <c r="E95" s="23" t="s">
        <v>146</v>
      </c>
      <c r="F95" s="23" t="s">
        <v>146</v>
      </c>
      <c r="G95" s="21">
        <v>0</v>
      </c>
      <c r="H95" s="21">
        <f>SUMIFS('表1- 本月物资进出明细账'!H:H,'表1- 本月物资进出明细账'!B:B,"入库",'表1- 本月物资进出明细账'!C:C,B:B,'表1- 本月物资进出明细账'!D:D,C:C)</f>
        <v>0</v>
      </c>
      <c r="I95" s="21">
        <f>SUMIFS('表1- 本月物资进出明细账'!H:H,'表1- 本月物资进出明细账'!B:B,"出库",'表1- 本月物资进出明细账'!C:C,B:B,'表1- 本月物资进出明细账'!D:D,C:C)</f>
        <v>0</v>
      </c>
      <c r="J95" s="26">
        <f t="shared" si="2"/>
        <v>0</v>
      </c>
      <c r="K95" s="21"/>
    </row>
    <row r="96" s="7" customFormat="1" customHeight="1" spans="1:11">
      <c r="A96" s="21">
        <f t="shared" si="3"/>
        <v>94</v>
      </c>
      <c r="B96" s="23" t="s">
        <v>170</v>
      </c>
      <c r="C96" s="23" t="s">
        <v>171</v>
      </c>
      <c r="D96" s="23" t="s">
        <v>162</v>
      </c>
      <c r="E96" s="23" t="s">
        <v>172</v>
      </c>
      <c r="F96" s="23" t="s">
        <v>173</v>
      </c>
      <c r="G96" s="21">
        <v>0</v>
      </c>
      <c r="H96" s="21">
        <f>SUMIFS('表1- 本月物资进出明细账'!H:H,'表1- 本月物资进出明细账'!B:B,"入库",'表1- 本月物资进出明细账'!C:C,B:B,'表1- 本月物资进出明细账'!D:D,C:C)</f>
        <v>0</v>
      </c>
      <c r="I96" s="21">
        <f>SUMIFS('表1- 本月物资进出明细账'!H:H,'表1- 本月物资进出明细账'!B:B,"出库",'表1- 本月物资进出明细账'!C:C,B:B,'表1- 本月物资进出明细账'!D:D,C:C)</f>
        <v>0</v>
      </c>
      <c r="J96" s="21">
        <f t="shared" si="2"/>
        <v>0</v>
      </c>
      <c r="K96" s="21"/>
    </row>
    <row r="97" s="7" customFormat="1" customHeight="1" spans="1:11">
      <c r="A97" s="21">
        <f t="shared" si="3"/>
        <v>95</v>
      </c>
      <c r="B97" s="23" t="s">
        <v>174</v>
      </c>
      <c r="C97" s="23" t="s">
        <v>175</v>
      </c>
      <c r="D97" s="23" t="s">
        <v>102</v>
      </c>
      <c r="E97" s="23" t="s">
        <v>172</v>
      </c>
      <c r="F97" s="23" t="s">
        <v>173</v>
      </c>
      <c r="G97" s="21">
        <v>0</v>
      </c>
      <c r="H97" s="21">
        <f>SUMIFS('表1- 本月物资进出明细账'!H:H,'表1- 本月物资进出明细账'!B:B,"入库",'表1- 本月物资进出明细账'!C:C,B:B,'表1- 本月物资进出明细账'!D:D,C:C)</f>
        <v>0</v>
      </c>
      <c r="I97" s="21">
        <f>SUMIFS('表1- 本月物资进出明细账'!H:H,'表1- 本月物资进出明细账'!B:B,"出库",'表1- 本月物资进出明细账'!C:C,B:B,'表1- 本月物资进出明细账'!D:D,C:C)</f>
        <v>0</v>
      </c>
      <c r="J97" s="21">
        <f t="shared" si="2"/>
        <v>0</v>
      </c>
      <c r="K97" s="21"/>
    </row>
    <row r="98" s="7" customFormat="1" customHeight="1" spans="1:11">
      <c r="A98" s="21">
        <f t="shared" si="3"/>
        <v>96</v>
      </c>
      <c r="B98" s="22" t="s">
        <v>176</v>
      </c>
      <c r="C98" s="23" t="s">
        <v>177</v>
      </c>
      <c r="D98" s="23" t="s">
        <v>178</v>
      </c>
      <c r="E98" s="23" t="s">
        <v>12</v>
      </c>
      <c r="F98" s="23" t="s">
        <v>13</v>
      </c>
      <c r="G98" s="21">
        <v>19</v>
      </c>
      <c r="H98" s="21">
        <f>SUMIFS('表1- 本月物资进出明细账'!H:H,'表1- 本月物资进出明细账'!B:B,"入库",'表1- 本月物资进出明细账'!C:C,B:B,'表1- 本月物资进出明细账'!D:D,C:C)</f>
        <v>0</v>
      </c>
      <c r="I98" s="21">
        <f>SUMIFS('表1- 本月物资进出明细账'!H:H,'表1- 本月物资进出明细账'!B:B,"出库",'表1- 本月物资进出明细账'!C:C,B:B,'表1- 本月物资进出明细账'!D:D,C:C)</f>
        <v>1</v>
      </c>
      <c r="J98" s="24">
        <f t="shared" si="2"/>
        <v>18</v>
      </c>
      <c r="K98" s="21"/>
    </row>
    <row r="99" s="7" customFormat="1" customHeight="1" spans="1:11">
      <c r="A99" s="21">
        <f t="shared" si="3"/>
        <v>97</v>
      </c>
      <c r="B99" s="23" t="s">
        <v>179</v>
      </c>
      <c r="C99" s="23" t="s">
        <v>180</v>
      </c>
      <c r="D99" s="23" t="s">
        <v>152</v>
      </c>
      <c r="E99" s="23" t="s">
        <v>85</v>
      </c>
      <c r="F99" s="23" t="s">
        <v>41</v>
      </c>
      <c r="G99" s="21">
        <v>0</v>
      </c>
      <c r="H99" s="21">
        <f>SUMIFS('表1- 本月物资进出明细账'!H:H,'表1- 本月物资进出明细账'!B:B,"入库",'表1- 本月物资进出明细账'!C:C,B:B,'表1- 本月物资进出明细账'!D:D,C:C)</f>
        <v>0</v>
      </c>
      <c r="I99" s="21">
        <f>SUMIFS('表1- 本月物资进出明细账'!H:H,'表1- 本月物资进出明细账'!B:B,"出库",'表1- 本月物资进出明细账'!C:C,B:B,'表1- 本月物资进出明细账'!D:D,C:C)</f>
        <v>0</v>
      </c>
      <c r="J99" s="21">
        <f t="shared" si="2"/>
        <v>0</v>
      </c>
      <c r="K99" s="21"/>
    </row>
    <row r="100" s="7" customFormat="1" customHeight="1" spans="1:11">
      <c r="A100" s="21">
        <f t="shared" si="3"/>
        <v>98</v>
      </c>
      <c r="B100" s="22" t="s">
        <v>181</v>
      </c>
      <c r="C100" s="23" t="s">
        <v>182</v>
      </c>
      <c r="D100" s="23" t="s">
        <v>22</v>
      </c>
      <c r="E100" s="23" t="s">
        <v>12</v>
      </c>
      <c r="F100" s="23" t="s">
        <v>13</v>
      </c>
      <c r="G100" s="21">
        <v>5</v>
      </c>
      <c r="H100" s="21">
        <f>SUMIFS('表1- 本月物资进出明细账'!H:H,'表1- 本月物资进出明细账'!B:B,"入库",'表1- 本月物资进出明细账'!C:C,B:B,'表1- 本月物资进出明细账'!D:D,C:C)</f>
        <v>0</v>
      </c>
      <c r="I100" s="21">
        <f>SUMIFS('表1- 本月物资进出明细账'!H:H,'表1- 本月物资进出明细账'!B:B,"出库",'表1- 本月物资进出明细账'!C:C,B:B,'表1- 本月物资进出明细账'!D:D,C:C)</f>
        <v>0</v>
      </c>
      <c r="J100" s="24">
        <f t="shared" si="2"/>
        <v>5</v>
      </c>
      <c r="K100" s="21"/>
    </row>
    <row r="101" s="7" customFormat="1" customHeight="1" spans="1:11">
      <c r="A101" s="21">
        <f t="shared" si="3"/>
        <v>99</v>
      </c>
      <c r="B101" s="22" t="s">
        <v>183</v>
      </c>
      <c r="C101" s="23" t="s">
        <v>184</v>
      </c>
      <c r="D101" s="23" t="s">
        <v>94</v>
      </c>
      <c r="E101" s="23" t="s">
        <v>54</v>
      </c>
      <c r="F101" s="23" t="s">
        <v>13</v>
      </c>
      <c r="G101" s="21">
        <v>11</v>
      </c>
      <c r="H101" s="21">
        <f>SUMIFS('表1- 本月物资进出明细账'!H:H,'表1- 本月物资进出明细账'!B:B,"入库",'表1- 本月物资进出明细账'!C:C,B:B,'表1- 本月物资进出明细账'!D:D,C:C)</f>
        <v>0</v>
      </c>
      <c r="I101" s="21">
        <f>SUMIFS('表1- 本月物资进出明细账'!H:H,'表1- 本月物资进出明细账'!B:B,"出库",'表1- 本月物资进出明细账'!C:C,B:B,'表1- 本月物资进出明细账'!D:D,C:C)</f>
        <v>1</v>
      </c>
      <c r="J101" s="24">
        <f t="shared" si="2"/>
        <v>10</v>
      </c>
      <c r="K101" s="21" t="s">
        <v>327</v>
      </c>
    </row>
    <row r="102" s="7" customFormat="1" customHeight="1" spans="1:11">
      <c r="A102" s="21">
        <f t="shared" si="3"/>
        <v>100</v>
      </c>
      <c r="B102" s="22" t="s">
        <v>185</v>
      </c>
      <c r="C102" s="23" t="s">
        <v>186</v>
      </c>
      <c r="D102" s="23" t="s">
        <v>22</v>
      </c>
      <c r="E102" s="23" t="s">
        <v>12</v>
      </c>
      <c r="F102" s="23" t="s">
        <v>13</v>
      </c>
      <c r="G102" s="21">
        <v>2</v>
      </c>
      <c r="H102" s="21">
        <f>SUMIFS('表1- 本月物资进出明细账'!H:H,'表1- 本月物资进出明细账'!B:B,"入库",'表1- 本月物资进出明细账'!C:C,B:B,'表1- 本月物资进出明细账'!D:D,C:C)</f>
        <v>0</v>
      </c>
      <c r="I102" s="21">
        <f>SUMIFS('表1- 本月物资进出明细账'!H:H,'表1- 本月物资进出明细账'!B:B,"出库",'表1- 本月物资进出明细账'!C:C,B:B,'表1- 本月物资进出明细账'!D:D,C:C)</f>
        <v>0</v>
      </c>
      <c r="J102" s="24">
        <f t="shared" si="2"/>
        <v>2</v>
      </c>
      <c r="K102" s="21"/>
    </row>
    <row r="103" s="7" customFormat="1" customHeight="1" spans="1:11">
      <c r="A103" s="21">
        <f t="shared" si="3"/>
        <v>101</v>
      </c>
      <c r="B103" s="23" t="s">
        <v>187</v>
      </c>
      <c r="C103" s="23" t="s">
        <v>188</v>
      </c>
      <c r="D103" s="23" t="s">
        <v>51</v>
      </c>
      <c r="E103" s="23" t="s">
        <v>85</v>
      </c>
      <c r="F103" s="23" t="s">
        <v>41</v>
      </c>
      <c r="G103" s="21">
        <v>0</v>
      </c>
      <c r="H103" s="21">
        <f>SUMIFS('表1- 本月物资进出明细账'!H:H,'表1- 本月物资进出明细账'!B:B,"入库",'表1- 本月物资进出明细账'!C:C,B:B,'表1- 本月物资进出明细账'!D:D,C:C)</f>
        <v>0</v>
      </c>
      <c r="I103" s="21">
        <f>SUMIFS('表1- 本月物资进出明细账'!H:H,'表1- 本月物资进出明细账'!B:B,"出库",'表1- 本月物资进出明细账'!C:C,B:B,'表1- 本月物资进出明细账'!D:D,C:C)</f>
        <v>0</v>
      </c>
      <c r="J103" s="21">
        <f t="shared" si="2"/>
        <v>0</v>
      </c>
      <c r="K103" s="21"/>
    </row>
    <row r="104" s="7" customFormat="1" customHeight="1" spans="1:11">
      <c r="A104" s="21">
        <f t="shared" si="3"/>
        <v>102</v>
      </c>
      <c r="B104" s="23" t="s">
        <v>189</v>
      </c>
      <c r="C104" s="23" t="s">
        <v>188</v>
      </c>
      <c r="D104" s="23" t="s">
        <v>51</v>
      </c>
      <c r="E104" s="23" t="s">
        <v>85</v>
      </c>
      <c r="F104" s="23" t="s">
        <v>41</v>
      </c>
      <c r="G104" s="21">
        <v>0</v>
      </c>
      <c r="H104" s="21">
        <f>SUMIFS('表1- 本月物资进出明细账'!H:H,'表1- 本月物资进出明细账'!B:B,"入库",'表1- 本月物资进出明细账'!C:C,B:B,'表1- 本月物资进出明细账'!D:D,C:C)</f>
        <v>0</v>
      </c>
      <c r="I104" s="21">
        <f>SUMIFS('表1- 本月物资进出明细账'!H:H,'表1- 本月物资进出明细账'!B:B,"出库",'表1- 本月物资进出明细账'!C:C,B:B,'表1- 本月物资进出明细账'!D:D,C:C)</f>
        <v>0</v>
      </c>
      <c r="J104" s="21">
        <f t="shared" si="2"/>
        <v>0</v>
      </c>
      <c r="K104" s="21"/>
    </row>
    <row r="105" s="7" customFormat="1" customHeight="1" spans="1:11">
      <c r="A105" s="21">
        <f t="shared" si="3"/>
        <v>103</v>
      </c>
      <c r="B105" s="23" t="s">
        <v>190</v>
      </c>
      <c r="C105" s="23" t="s">
        <v>188</v>
      </c>
      <c r="D105" s="23" t="s">
        <v>51</v>
      </c>
      <c r="E105" s="23" t="s">
        <v>85</v>
      </c>
      <c r="F105" s="23" t="s">
        <v>41</v>
      </c>
      <c r="G105" s="21">
        <v>0</v>
      </c>
      <c r="H105" s="21">
        <f>SUMIFS('表1- 本月物资进出明细账'!H:H,'表1- 本月物资进出明细账'!B:B,"入库",'表1- 本月物资进出明细账'!C:C,B:B,'表1- 本月物资进出明细账'!D:D,C:C)</f>
        <v>0</v>
      </c>
      <c r="I105" s="21">
        <f>SUMIFS('表1- 本月物资进出明细账'!H:H,'表1- 本月物资进出明细账'!B:B,"出库",'表1- 本月物资进出明细账'!C:C,B:B,'表1- 本月物资进出明细账'!D:D,C:C)</f>
        <v>0</v>
      </c>
      <c r="J105" s="21">
        <f t="shared" si="2"/>
        <v>0</v>
      </c>
      <c r="K105" s="21"/>
    </row>
    <row r="106" s="7" customFormat="1" customHeight="1" spans="1:11">
      <c r="A106" s="21">
        <f t="shared" si="3"/>
        <v>104</v>
      </c>
      <c r="B106" s="22" t="s">
        <v>191</v>
      </c>
      <c r="C106" s="23" t="s">
        <v>192</v>
      </c>
      <c r="D106" s="23" t="s">
        <v>162</v>
      </c>
      <c r="E106" s="23" t="s">
        <v>54</v>
      </c>
      <c r="F106" s="23" t="s">
        <v>13</v>
      </c>
      <c r="G106" s="21">
        <v>25</v>
      </c>
      <c r="H106" s="21">
        <f>SUMIFS('表1- 本月物资进出明细账'!H:H,'表1- 本月物资进出明细账'!B:B,"入库",'表1- 本月物资进出明细账'!C:C,B:B,'表1- 本月物资进出明细账'!D:D,C:C)</f>
        <v>0</v>
      </c>
      <c r="I106" s="21">
        <f>SUMIFS('表1- 本月物资进出明细账'!H:H,'表1- 本月物资进出明细账'!B:B,"出库",'表1- 本月物资进出明细账'!C:C,B:B,'表1- 本月物资进出明细账'!D:D,C:C)</f>
        <v>0</v>
      </c>
      <c r="J106" s="24">
        <f t="shared" si="2"/>
        <v>25</v>
      </c>
      <c r="K106" s="21"/>
    </row>
    <row r="107" customHeight="1" spans="1:11">
      <c r="A107" s="21">
        <f t="shared" si="3"/>
        <v>105</v>
      </c>
      <c r="B107" s="23" t="s">
        <v>193</v>
      </c>
      <c r="C107" s="23" t="s">
        <v>194</v>
      </c>
      <c r="D107" s="23" t="s">
        <v>94</v>
      </c>
      <c r="E107" s="23" t="s">
        <v>131</v>
      </c>
      <c r="F107" s="23" t="s">
        <v>96</v>
      </c>
      <c r="G107" s="21">
        <v>0</v>
      </c>
      <c r="H107" s="21">
        <f>SUMIFS('表1- 本月物资进出明细账'!H:H,'表1- 本月物资进出明细账'!B:B,"入库",'表1- 本月物资进出明细账'!C:C,B:B,'表1- 本月物资进出明细账'!D:D,C:C)</f>
        <v>0</v>
      </c>
      <c r="I107" s="21">
        <f>SUMIFS('表1- 本月物资进出明细账'!H:H,'表1- 本月物资进出明细账'!B:B,"出库",'表1- 本月物资进出明细账'!C:C,B:B,'表1- 本月物资进出明细账'!D:D,C:C)</f>
        <v>0</v>
      </c>
      <c r="J107" s="21">
        <f t="shared" si="2"/>
        <v>0</v>
      </c>
      <c r="K107" s="21"/>
    </row>
    <row r="108" customHeight="1" spans="1:11">
      <c r="A108" s="21">
        <f t="shared" si="3"/>
        <v>106</v>
      </c>
      <c r="B108" s="23" t="s">
        <v>195</v>
      </c>
      <c r="C108" s="23" t="s">
        <v>196</v>
      </c>
      <c r="D108" s="23" t="s">
        <v>11</v>
      </c>
      <c r="E108" s="23" t="s">
        <v>12</v>
      </c>
      <c r="F108" s="23" t="s">
        <v>13</v>
      </c>
      <c r="G108" s="21">
        <v>0</v>
      </c>
      <c r="H108" s="21">
        <f>SUMIFS('表1- 本月物资进出明细账'!H:H,'表1- 本月物资进出明细账'!B:B,"入库",'表1- 本月物资进出明细账'!C:C,B:B,'表1- 本月物资进出明细账'!D:D,C:C)</f>
        <v>0</v>
      </c>
      <c r="I108" s="21">
        <f>SUMIFS('表1- 本月物资进出明细账'!H:H,'表1- 本月物资进出明细账'!B:B,"出库",'表1- 本月物资进出明细账'!C:C,B:B,'表1- 本月物资进出明细账'!D:D,C:C)</f>
        <v>0</v>
      </c>
      <c r="J108" s="21">
        <f t="shared" si="2"/>
        <v>0</v>
      </c>
      <c r="K108" s="21"/>
    </row>
    <row r="109" customHeight="1" spans="1:11">
      <c r="A109" s="21">
        <f t="shared" si="3"/>
        <v>107</v>
      </c>
      <c r="B109" s="23" t="s">
        <v>197</v>
      </c>
      <c r="C109" s="23" t="s">
        <v>198</v>
      </c>
      <c r="D109" s="23" t="s">
        <v>11</v>
      </c>
      <c r="E109" s="23" t="s">
        <v>99</v>
      </c>
      <c r="F109" s="23" t="s">
        <v>13</v>
      </c>
      <c r="G109" s="21">
        <v>0</v>
      </c>
      <c r="H109" s="21">
        <f>SUMIFS('表1- 本月物资进出明细账'!H:H,'表1- 本月物资进出明细账'!B:B,"入库",'表1- 本月物资进出明细账'!C:C,B:B,'表1- 本月物资进出明细账'!D:D,C:C)</f>
        <v>0</v>
      </c>
      <c r="I109" s="21">
        <f>SUMIFS('表1- 本月物资进出明细账'!H:H,'表1- 本月物资进出明细账'!B:B,"出库",'表1- 本月物资进出明细账'!C:C,B:B,'表1- 本月物资进出明细账'!D:D,C:C)</f>
        <v>0</v>
      </c>
      <c r="J109" s="21">
        <f t="shared" si="2"/>
        <v>0</v>
      </c>
      <c r="K109" s="21"/>
    </row>
    <row r="110" customHeight="1" spans="1:11">
      <c r="A110" s="21">
        <f t="shared" si="3"/>
        <v>108</v>
      </c>
      <c r="B110" s="23" t="s">
        <v>199</v>
      </c>
      <c r="C110" s="23" t="s">
        <v>200</v>
      </c>
      <c r="D110" s="23" t="s">
        <v>117</v>
      </c>
      <c r="E110" s="23" t="s">
        <v>131</v>
      </c>
      <c r="F110" s="23" t="s">
        <v>96</v>
      </c>
      <c r="G110" s="21">
        <v>0</v>
      </c>
      <c r="H110" s="21">
        <f>SUMIFS('表1- 本月物资进出明细账'!H:H,'表1- 本月物资进出明细账'!B:B,"入库",'表1- 本月物资进出明细账'!C:C,B:B,'表1- 本月物资进出明细账'!D:D,C:C)</f>
        <v>0</v>
      </c>
      <c r="I110" s="21">
        <f>SUMIFS('表1- 本月物资进出明细账'!H:H,'表1- 本月物资进出明细账'!B:B,"出库",'表1- 本月物资进出明细账'!C:C,B:B,'表1- 本月物资进出明细账'!D:D,C:C)</f>
        <v>0</v>
      </c>
      <c r="J110" s="21">
        <f t="shared" si="2"/>
        <v>0</v>
      </c>
      <c r="K110" s="21"/>
    </row>
    <row r="111" customHeight="1" spans="1:11">
      <c r="A111" s="21">
        <f t="shared" si="3"/>
        <v>109</v>
      </c>
      <c r="B111" s="22" t="s">
        <v>201</v>
      </c>
      <c r="C111" s="23" t="s">
        <v>202</v>
      </c>
      <c r="D111" s="23" t="s">
        <v>11</v>
      </c>
      <c r="E111" s="23" t="s">
        <v>131</v>
      </c>
      <c r="F111" s="23" t="s">
        <v>96</v>
      </c>
      <c r="G111" s="21">
        <v>85</v>
      </c>
      <c r="H111" s="21">
        <f>SUMIFS('表1- 本月物资进出明细账'!H:H,'表1- 本月物资进出明细账'!B:B,"入库",'表1- 本月物资进出明细账'!C:C,B:B,'表1- 本月物资进出明细账'!D:D,C:C)</f>
        <v>0</v>
      </c>
      <c r="I111" s="21">
        <f>SUMIFS('表1- 本月物资进出明细账'!H:H,'表1- 本月物资进出明细账'!B:B,"出库",'表1- 本月物资进出明细账'!C:C,B:B,'表1- 本月物资进出明细账'!D:D,C:C)</f>
        <v>2</v>
      </c>
      <c r="J111" s="24">
        <f t="shared" si="2"/>
        <v>83</v>
      </c>
      <c r="K111" s="21"/>
    </row>
    <row r="112" customHeight="1" spans="1:11">
      <c r="A112" s="21">
        <f t="shared" si="3"/>
        <v>110</v>
      </c>
      <c r="B112" s="22" t="s">
        <v>203</v>
      </c>
      <c r="C112" s="23" t="s">
        <v>204</v>
      </c>
      <c r="D112" s="23" t="s">
        <v>205</v>
      </c>
      <c r="E112" s="23" t="s">
        <v>54</v>
      </c>
      <c r="F112" s="23" t="s">
        <v>13</v>
      </c>
      <c r="G112" s="21">
        <v>8</v>
      </c>
      <c r="H112" s="21">
        <f>SUMIFS('表1- 本月物资进出明细账'!H:H,'表1- 本月物资进出明细账'!B:B,"入库",'表1- 本月物资进出明细账'!C:C,B:B,'表1- 本月物资进出明细账'!D:D,C:C)</f>
        <v>0</v>
      </c>
      <c r="I112" s="21">
        <f>SUMIFS('表1- 本月物资进出明细账'!H:H,'表1- 本月物资进出明细账'!B:B,"出库",'表1- 本月物资进出明细账'!C:C,B:B,'表1- 本月物资进出明细账'!D:D,C:C)</f>
        <v>0</v>
      </c>
      <c r="J112" s="24">
        <f t="shared" si="2"/>
        <v>8</v>
      </c>
      <c r="K112" s="21"/>
    </row>
    <row r="113" customHeight="1" spans="1:11">
      <c r="A113" s="21">
        <f t="shared" si="3"/>
        <v>111</v>
      </c>
      <c r="B113" s="22" t="s">
        <v>206</v>
      </c>
      <c r="C113" s="23" t="s">
        <v>207</v>
      </c>
      <c r="D113" s="23" t="s">
        <v>22</v>
      </c>
      <c r="E113" s="23" t="s">
        <v>54</v>
      </c>
      <c r="F113" s="23" t="s">
        <v>13</v>
      </c>
      <c r="G113" s="21">
        <v>0</v>
      </c>
      <c r="H113" s="21">
        <f>SUMIFS('表1- 本月物资进出明细账'!H:H,'表1- 本月物资进出明细账'!B:B,"入库",'表1- 本月物资进出明细账'!C:C,B:B,'表1- 本月物资进出明细账'!D:D,C:C)</f>
        <v>0</v>
      </c>
      <c r="I113" s="21">
        <f>SUMIFS('表1- 本月物资进出明细账'!H:H,'表1- 本月物资进出明细账'!B:B,"出库",'表1- 本月物资进出明细账'!C:C,B:B,'表1- 本月物资进出明细账'!D:D,C:C)</f>
        <v>0</v>
      </c>
      <c r="J113" s="24">
        <f t="shared" si="2"/>
        <v>0</v>
      </c>
      <c r="K113" s="21"/>
    </row>
    <row r="114" customHeight="1" spans="1:11">
      <c r="A114" s="21">
        <f t="shared" si="3"/>
        <v>112</v>
      </c>
      <c r="B114" s="22" t="s">
        <v>208</v>
      </c>
      <c r="C114" s="23" t="s">
        <v>209</v>
      </c>
      <c r="D114" s="23" t="s">
        <v>51</v>
      </c>
      <c r="E114" s="23" t="s">
        <v>12</v>
      </c>
      <c r="F114" s="23" t="s">
        <v>41</v>
      </c>
      <c r="G114" s="21">
        <v>4</v>
      </c>
      <c r="H114" s="21">
        <f>SUMIFS('表1- 本月物资进出明细账'!H:H,'表1- 本月物资进出明细账'!B:B,"入库",'表1- 本月物资进出明细账'!C:C,B:B,'表1- 本月物资进出明细账'!D:D,C:C)</f>
        <v>0</v>
      </c>
      <c r="I114" s="21">
        <f>SUMIFS('表1- 本月物资进出明细账'!H:H,'表1- 本月物资进出明细账'!B:B,"出库",'表1- 本月物资进出明细账'!C:C,B:B,'表1- 本月物资进出明细账'!D:D,C:C)</f>
        <v>0</v>
      </c>
      <c r="J114" s="24">
        <f t="shared" si="2"/>
        <v>4</v>
      </c>
      <c r="K114" s="21"/>
    </row>
    <row r="115" customHeight="1" spans="1:11">
      <c r="A115" s="21">
        <f t="shared" si="3"/>
        <v>113</v>
      </c>
      <c r="B115" s="23" t="s">
        <v>210</v>
      </c>
      <c r="C115" s="23" t="s">
        <v>211</v>
      </c>
      <c r="D115" s="23" t="s">
        <v>11</v>
      </c>
      <c r="E115" s="23" t="s">
        <v>54</v>
      </c>
      <c r="F115" s="23" t="s">
        <v>41</v>
      </c>
      <c r="G115" s="21">
        <v>0</v>
      </c>
      <c r="H115" s="21">
        <f>SUMIFS('表1- 本月物资进出明细账'!H:H,'表1- 本月物资进出明细账'!B:B,"入库",'表1- 本月物资进出明细账'!C:C,B:B,'表1- 本月物资进出明细账'!D:D,C:C)</f>
        <v>0</v>
      </c>
      <c r="I115" s="21">
        <f>SUMIFS('表1- 本月物资进出明细账'!H:H,'表1- 本月物资进出明细账'!B:B,"出库",'表1- 本月物资进出明细账'!C:C,B:B,'表1- 本月物资进出明细账'!D:D,C:C)</f>
        <v>0</v>
      </c>
      <c r="J115" s="21">
        <f t="shared" si="2"/>
        <v>0</v>
      </c>
      <c r="K115" s="21"/>
    </row>
    <row r="116" customHeight="1" spans="1:11">
      <c r="A116" s="21">
        <f t="shared" si="3"/>
        <v>114</v>
      </c>
      <c r="B116" s="23" t="s">
        <v>212</v>
      </c>
      <c r="C116" s="23" t="s">
        <v>213</v>
      </c>
      <c r="D116" s="23" t="s">
        <v>94</v>
      </c>
      <c r="E116" s="23" t="s">
        <v>12</v>
      </c>
      <c r="F116" s="23" t="s">
        <v>13</v>
      </c>
      <c r="G116" s="21">
        <v>0</v>
      </c>
      <c r="H116" s="21">
        <f>SUMIFS('表1- 本月物资进出明细账'!H:H,'表1- 本月物资进出明细账'!B:B,"入库",'表1- 本月物资进出明细账'!C:C,B:B,'表1- 本月物资进出明细账'!D:D,C:C)</f>
        <v>0</v>
      </c>
      <c r="I116" s="21">
        <f>SUMIFS('表1- 本月物资进出明细账'!H:H,'表1- 本月物资进出明细账'!B:B,"出库",'表1- 本月物资进出明细账'!C:C,B:B,'表1- 本月物资进出明细账'!D:D,C:C)</f>
        <v>0</v>
      </c>
      <c r="J116" s="21">
        <f t="shared" si="2"/>
        <v>0</v>
      </c>
      <c r="K116" s="21"/>
    </row>
    <row r="117" customHeight="1" spans="1:11">
      <c r="A117" s="21">
        <f t="shared" si="3"/>
        <v>115</v>
      </c>
      <c r="B117" s="22" t="s">
        <v>214</v>
      </c>
      <c r="C117" s="23" t="s">
        <v>215</v>
      </c>
      <c r="D117" s="23" t="s">
        <v>22</v>
      </c>
      <c r="E117" s="23" t="s">
        <v>54</v>
      </c>
      <c r="F117" s="23" t="s">
        <v>13</v>
      </c>
      <c r="G117" s="21">
        <v>0</v>
      </c>
      <c r="H117" s="21">
        <f>SUMIFS('表1- 本月物资进出明细账'!H:H,'表1- 本月物资进出明细账'!B:B,"入库",'表1- 本月物资进出明细账'!C:C,B:B,'表1- 本月物资进出明细账'!D:D,C:C)</f>
        <v>0</v>
      </c>
      <c r="I117" s="21">
        <f>SUMIFS('表1- 本月物资进出明细账'!H:H,'表1- 本月物资进出明细账'!B:B,"出库",'表1- 本月物资进出明细账'!C:C,B:B,'表1- 本月物资进出明细账'!D:D,C:C)</f>
        <v>0</v>
      </c>
      <c r="J117" s="24">
        <f t="shared" si="2"/>
        <v>0</v>
      </c>
      <c r="K117" s="21"/>
    </row>
    <row r="118" customHeight="1" spans="1:11">
      <c r="A118" s="21">
        <f t="shared" si="3"/>
        <v>116</v>
      </c>
      <c r="B118" s="22" t="s">
        <v>216</v>
      </c>
      <c r="C118" s="23" t="s">
        <v>217</v>
      </c>
      <c r="D118" s="23" t="s">
        <v>51</v>
      </c>
      <c r="E118" s="23" t="s">
        <v>12</v>
      </c>
      <c r="F118" s="23" t="s">
        <v>41</v>
      </c>
      <c r="G118" s="21">
        <v>0</v>
      </c>
      <c r="H118" s="21">
        <f>SUMIFS('表1- 本月物资进出明细账'!H:H,'表1- 本月物资进出明细账'!B:B,"入库",'表1- 本月物资进出明细账'!C:C,B:B,'表1- 本月物资进出明细账'!D:D,C:C)</f>
        <v>0</v>
      </c>
      <c r="I118" s="21">
        <f>SUMIFS('表1- 本月物资进出明细账'!H:H,'表1- 本月物资进出明细账'!B:B,"出库",'表1- 本月物资进出明细账'!C:C,B:B,'表1- 本月物资进出明细账'!D:D,C:C)</f>
        <v>0</v>
      </c>
      <c r="J118" s="24">
        <f t="shared" si="2"/>
        <v>0</v>
      </c>
      <c r="K118" s="21"/>
    </row>
    <row r="119" customHeight="1" spans="1:11">
      <c r="A119" s="21">
        <f t="shared" si="3"/>
        <v>117</v>
      </c>
      <c r="B119" s="22" t="s">
        <v>97</v>
      </c>
      <c r="C119" s="23" t="s">
        <v>218</v>
      </c>
      <c r="D119" s="23" t="s">
        <v>11</v>
      </c>
      <c r="E119" s="23" t="s">
        <v>54</v>
      </c>
      <c r="F119" s="23" t="s">
        <v>13</v>
      </c>
      <c r="G119" s="21">
        <v>105</v>
      </c>
      <c r="H119" s="21">
        <f>SUMIFS('表1- 本月物资进出明细账'!H:H,'表1- 本月物资进出明细账'!B:B,"入库",'表1- 本月物资进出明细账'!C:C,B:B,'表1- 本月物资进出明细账'!D:D,C:C)</f>
        <v>0</v>
      </c>
      <c r="I119" s="21">
        <f>SUMIFS('表1- 本月物资进出明细账'!H:H,'表1- 本月物资进出明细账'!B:B,"出库",'表1- 本月物资进出明细账'!C:C,B:B,'表1- 本月物资进出明细账'!D:D,C:C)</f>
        <v>0</v>
      </c>
      <c r="J119" s="24">
        <f t="shared" si="2"/>
        <v>105</v>
      </c>
      <c r="K119" s="21"/>
    </row>
    <row r="120" customHeight="1" spans="1:11">
      <c r="A120" s="21">
        <f t="shared" si="3"/>
        <v>118</v>
      </c>
      <c r="B120" s="22" t="s">
        <v>219</v>
      </c>
      <c r="C120" s="23" t="s">
        <v>220</v>
      </c>
      <c r="D120" s="23" t="s">
        <v>11</v>
      </c>
      <c r="E120" s="23" t="s">
        <v>12</v>
      </c>
      <c r="F120" s="23" t="s">
        <v>13</v>
      </c>
      <c r="G120" s="21">
        <v>37</v>
      </c>
      <c r="H120" s="21">
        <f>SUMIFS('表1- 本月物资进出明细账'!H:H,'表1- 本月物资进出明细账'!B:B,"入库",'表1- 本月物资进出明细账'!C:C,B:B,'表1- 本月物资进出明细账'!D:D,C:C)</f>
        <v>0</v>
      </c>
      <c r="I120" s="21">
        <f>SUMIFS('表1- 本月物资进出明细账'!H:H,'表1- 本月物资进出明细账'!B:B,"出库",'表1- 本月物资进出明细账'!C:C,B:B,'表1- 本月物资进出明细账'!D:D,C:C)</f>
        <v>0</v>
      </c>
      <c r="J120" s="24">
        <f t="shared" si="2"/>
        <v>37</v>
      </c>
      <c r="K120" s="21"/>
    </row>
    <row r="121" customHeight="1" spans="1:11">
      <c r="A121" s="21">
        <f t="shared" si="3"/>
        <v>119</v>
      </c>
      <c r="B121" s="22" t="s">
        <v>221</v>
      </c>
      <c r="C121" s="23" t="s">
        <v>222</v>
      </c>
      <c r="D121" s="23" t="s">
        <v>74</v>
      </c>
      <c r="E121" s="23" t="s">
        <v>12</v>
      </c>
      <c r="F121" s="23" t="s">
        <v>41</v>
      </c>
      <c r="G121" s="21">
        <v>8.6</v>
      </c>
      <c r="H121" s="21">
        <f>SUMIFS('表1- 本月物资进出明细账'!H:H,'表1- 本月物资进出明细账'!B:B,"入库",'表1- 本月物资进出明细账'!C:C,B:B,'表1- 本月物资进出明细账'!D:D,C:C)</f>
        <v>0</v>
      </c>
      <c r="I121" s="21">
        <f>SUMIFS('表1- 本月物资进出明细账'!H:H,'表1- 本月物资进出明细账'!B:B,"出库",'表1- 本月物资进出明细账'!C:C,B:B,'表1- 本月物资进出明细账'!D:D,C:C)</f>
        <v>0</v>
      </c>
      <c r="J121" s="24">
        <f t="shared" si="2"/>
        <v>8.6</v>
      </c>
      <c r="K121" s="21"/>
    </row>
    <row r="122" customHeight="1" spans="1:11">
      <c r="A122" s="21">
        <f t="shared" si="3"/>
        <v>120</v>
      </c>
      <c r="B122" s="23" t="s">
        <v>97</v>
      </c>
      <c r="C122" s="23" t="s">
        <v>223</v>
      </c>
      <c r="D122" s="23" t="s">
        <v>11</v>
      </c>
      <c r="E122" s="23" t="s">
        <v>54</v>
      </c>
      <c r="F122" s="23" t="s">
        <v>13</v>
      </c>
      <c r="G122" s="21">
        <v>0</v>
      </c>
      <c r="H122" s="21">
        <f>SUMIFS('表1- 本月物资进出明细账'!H:H,'表1- 本月物资进出明细账'!B:B,"入库",'表1- 本月物资进出明细账'!C:C,B:B,'表1- 本月物资进出明细账'!D:D,C:C)</f>
        <v>0</v>
      </c>
      <c r="I122" s="21">
        <f>SUMIFS('表1- 本月物资进出明细账'!H:H,'表1- 本月物资进出明细账'!B:B,"出库",'表1- 本月物资进出明细账'!C:C,B:B,'表1- 本月物资进出明细账'!D:D,C:C)</f>
        <v>0</v>
      </c>
      <c r="J122" s="21">
        <f t="shared" si="2"/>
        <v>0</v>
      </c>
      <c r="K122" s="21"/>
    </row>
    <row r="123" customHeight="1" spans="1:11">
      <c r="A123" s="21">
        <f t="shared" si="3"/>
        <v>121</v>
      </c>
      <c r="B123" s="22" t="s">
        <v>97</v>
      </c>
      <c r="C123" s="23" t="s">
        <v>224</v>
      </c>
      <c r="D123" s="23" t="s">
        <v>11</v>
      </c>
      <c r="E123" s="23" t="s">
        <v>54</v>
      </c>
      <c r="F123" s="23" t="s">
        <v>13</v>
      </c>
      <c r="G123" s="21">
        <v>4</v>
      </c>
      <c r="H123" s="21">
        <f>SUMIFS('表1- 本月物资进出明细账'!H:H,'表1- 本月物资进出明细账'!B:B,"入库",'表1- 本月物资进出明细账'!C:C,B:B,'表1- 本月物资进出明细账'!D:D,C:C)</f>
        <v>0</v>
      </c>
      <c r="I123" s="21">
        <f>SUMIFS('表1- 本月物资进出明细账'!H:H,'表1- 本月物资进出明细账'!B:B,"出库",'表1- 本月物资进出明细账'!C:C,B:B,'表1- 本月物资进出明细账'!D:D,C:C)</f>
        <v>0</v>
      </c>
      <c r="J123" s="24">
        <f t="shared" si="2"/>
        <v>4</v>
      </c>
      <c r="K123" s="21"/>
    </row>
    <row r="124" customHeight="1" spans="1:11">
      <c r="A124" s="21">
        <f t="shared" si="3"/>
        <v>122</v>
      </c>
      <c r="B124" s="22" t="s">
        <v>33</v>
      </c>
      <c r="C124" s="23" t="s">
        <v>225</v>
      </c>
      <c r="D124" s="23" t="s">
        <v>22</v>
      </c>
      <c r="E124" s="23" t="s">
        <v>12</v>
      </c>
      <c r="F124" s="23" t="s">
        <v>13</v>
      </c>
      <c r="G124" s="21">
        <v>5</v>
      </c>
      <c r="H124" s="21">
        <f>SUMIFS('表1- 本月物资进出明细账'!H:H,'表1- 本月物资进出明细账'!B:B,"入库",'表1- 本月物资进出明细账'!C:C,B:B,'表1- 本月物资进出明细账'!D:D,C:C)</f>
        <v>0</v>
      </c>
      <c r="I124" s="21">
        <f>SUMIFS('表1- 本月物资进出明细账'!H:H,'表1- 本月物资进出明细账'!B:B,"出库",'表1- 本月物资进出明细账'!C:C,B:B,'表1- 本月物资进出明细账'!D:D,C:C)</f>
        <v>1</v>
      </c>
      <c r="J124" s="24">
        <f t="shared" si="2"/>
        <v>4</v>
      </c>
      <c r="K124" s="21"/>
    </row>
    <row r="125" customHeight="1" spans="1:11">
      <c r="A125" s="21">
        <f t="shared" si="3"/>
        <v>123</v>
      </c>
      <c r="B125" s="22" t="s">
        <v>226</v>
      </c>
      <c r="C125" s="23" t="s">
        <v>227</v>
      </c>
      <c r="D125" s="23" t="s">
        <v>22</v>
      </c>
      <c r="E125" s="23" t="s">
        <v>12</v>
      </c>
      <c r="F125" s="23" t="s">
        <v>13</v>
      </c>
      <c r="G125" s="27">
        <v>1</v>
      </c>
      <c r="H125" s="21">
        <f>SUMIFS('表1- 本月物资进出明细账'!H:H,'表1- 本月物资进出明细账'!B:B,"入库",'表1- 本月物资进出明细账'!C:C,B:B,'表1- 本月物资进出明细账'!D:D,C:C)</f>
        <v>0</v>
      </c>
      <c r="I125" s="21">
        <f>SUMIFS('表1- 本月物资进出明细账'!H:H,'表1- 本月物资进出明细账'!B:B,"出库",'表1- 本月物资进出明细账'!C:C,B:B,'表1- 本月物资进出明细账'!D:D,C:C)</f>
        <v>0</v>
      </c>
      <c r="J125" s="24">
        <f t="shared" si="2"/>
        <v>1</v>
      </c>
      <c r="K125" s="21"/>
    </row>
    <row r="126" customHeight="1" spans="1:11">
      <c r="A126" s="21">
        <f t="shared" si="3"/>
        <v>124</v>
      </c>
      <c r="B126" s="27" t="s">
        <v>228</v>
      </c>
      <c r="C126" s="27" t="s">
        <v>229</v>
      </c>
      <c r="D126" s="27" t="s">
        <v>31</v>
      </c>
      <c r="E126" s="23" t="s">
        <v>131</v>
      </c>
      <c r="F126" s="23" t="s">
        <v>96</v>
      </c>
      <c r="G126" s="27">
        <v>0</v>
      </c>
      <c r="H126" s="21">
        <f>SUMIFS('表1- 本月物资进出明细账'!H:H,'表1- 本月物资进出明细账'!B:B,"入库",'表1- 本月物资进出明细账'!C:C,B:B,'表1- 本月物资进出明细账'!D:D,C:C)</f>
        <v>0</v>
      </c>
      <c r="I126" s="21">
        <f>SUMIFS('表1- 本月物资进出明细账'!H:H,'表1- 本月物资进出明细账'!B:B,"出库",'表1- 本月物资进出明细账'!C:C,B:B,'表1- 本月物资进出明细账'!D:D,C:C)</f>
        <v>0</v>
      </c>
      <c r="J126" s="21">
        <f t="shared" si="2"/>
        <v>0</v>
      </c>
      <c r="K126" s="21"/>
    </row>
    <row r="127" customHeight="1" spans="1:11">
      <c r="A127" s="21">
        <f t="shared" si="3"/>
        <v>125</v>
      </c>
      <c r="B127" s="27" t="s">
        <v>228</v>
      </c>
      <c r="C127" s="27" t="s">
        <v>230</v>
      </c>
      <c r="D127" s="27" t="s">
        <v>31</v>
      </c>
      <c r="E127" s="23" t="s">
        <v>131</v>
      </c>
      <c r="F127" s="23" t="s">
        <v>96</v>
      </c>
      <c r="G127" s="27">
        <v>0</v>
      </c>
      <c r="H127" s="21">
        <f>SUMIFS('表1- 本月物资进出明细账'!H:H,'表1- 本月物资进出明细账'!B:B,"入库",'表1- 本月物资进出明细账'!C:C,B:B,'表1- 本月物资进出明细账'!D:D,C:C)</f>
        <v>0</v>
      </c>
      <c r="I127" s="21">
        <f>SUMIFS('表1- 本月物资进出明细账'!H:H,'表1- 本月物资进出明细账'!B:B,"出库",'表1- 本月物资进出明细账'!C:C,B:B,'表1- 本月物资进出明细账'!D:D,C:C)</f>
        <v>0</v>
      </c>
      <c r="J127" s="21">
        <f t="shared" si="2"/>
        <v>0</v>
      </c>
      <c r="K127" s="21"/>
    </row>
    <row r="128" customHeight="1" spans="1:11">
      <c r="A128" s="21">
        <f t="shared" si="3"/>
        <v>126</v>
      </c>
      <c r="B128" s="27" t="s">
        <v>228</v>
      </c>
      <c r="C128" s="27" t="s">
        <v>231</v>
      </c>
      <c r="D128" s="27" t="s">
        <v>31</v>
      </c>
      <c r="E128" s="23" t="s">
        <v>131</v>
      </c>
      <c r="F128" s="23" t="s">
        <v>96</v>
      </c>
      <c r="G128" s="27">
        <v>0</v>
      </c>
      <c r="H128" s="21">
        <f>SUMIFS('表1- 本月物资进出明细账'!H:H,'表1- 本月物资进出明细账'!B:B,"入库",'表1- 本月物资进出明细账'!C:C,B:B,'表1- 本月物资进出明细账'!D:D,C:C)</f>
        <v>0</v>
      </c>
      <c r="I128" s="21">
        <f>SUMIFS('表1- 本月物资进出明细账'!H:H,'表1- 本月物资进出明细账'!B:B,"出库",'表1- 本月物资进出明细账'!C:C,B:B,'表1- 本月物资进出明细账'!D:D,C:C)</f>
        <v>0</v>
      </c>
      <c r="J128" s="21">
        <f t="shared" si="2"/>
        <v>0</v>
      </c>
      <c r="K128" s="21"/>
    </row>
    <row r="129" customHeight="1" spans="1:11">
      <c r="A129" s="21">
        <f t="shared" si="3"/>
        <v>127</v>
      </c>
      <c r="B129" s="27" t="s">
        <v>228</v>
      </c>
      <c r="C129" s="27" t="s">
        <v>232</v>
      </c>
      <c r="D129" s="27" t="s">
        <v>31</v>
      </c>
      <c r="E129" s="23" t="s">
        <v>131</v>
      </c>
      <c r="F129" s="23" t="s">
        <v>96</v>
      </c>
      <c r="G129" s="27">
        <v>0</v>
      </c>
      <c r="H129" s="21">
        <f>SUMIFS('表1- 本月物资进出明细账'!H:H,'表1- 本月物资进出明细账'!B:B,"入库",'表1- 本月物资进出明细账'!C:C,B:B,'表1- 本月物资进出明细账'!D:D,C:C)</f>
        <v>0</v>
      </c>
      <c r="I129" s="21">
        <f>SUMIFS('表1- 本月物资进出明细账'!H:H,'表1- 本月物资进出明细账'!B:B,"出库",'表1- 本月物资进出明细账'!C:C,B:B,'表1- 本月物资进出明细账'!D:D,C:C)</f>
        <v>0</v>
      </c>
      <c r="J129" s="21">
        <f t="shared" si="2"/>
        <v>0</v>
      </c>
      <c r="K129" s="21"/>
    </row>
    <row r="130" customHeight="1" spans="1:11">
      <c r="A130" s="21">
        <f t="shared" si="3"/>
        <v>128</v>
      </c>
      <c r="B130" s="27" t="s">
        <v>228</v>
      </c>
      <c r="C130" s="27" t="s">
        <v>233</v>
      </c>
      <c r="D130" s="27" t="s">
        <v>31</v>
      </c>
      <c r="E130" s="23" t="s">
        <v>131</v>
      </c>
      <c r="F130" s="23" t="s">
        <v>96</v>
      </c>
      <c r="G130" s="27">
        <v>0</v>
      </c>
      <c r="H130" s="21">
        <f>SUMIFS('表1- 本月物资进出明细账'!H:H,'表1- 本月物资进出明细账'!B:B,"入库",'表1- 本月物资进出明细账'!C:C,B:B,'表1- 本月物资进出明细账'!D:D,C:C)</f>
        <v>0</v>
      </c>
      <c r="I130" s="21">
        <f>SUMIFS('表1- 本月物资进出明细账'!H:H,'表1- 本月物资进出明细账'!B:B,"出库",'表1- 本月物资进出明细账'!C:C,B:B,'表1- 本月物资进出明细账'!D:D,C:C)</f>
        <v>0</v>
      </c>
      <c r="J130" s="21">
        <f t="shared" si="2"/>
        <v>0</v>
      </c>
      <c r="K130" s="21"/>
    </row>
    <row r="131" customHeight="1" spans="1:11">
      <c r="A131" s="21">
        <f t="shared" si="3"/>
        <v>129</v>
      </c>
      <c r="B131" s="28" t="s">
        <v>228</v>
      </c>
      <c r="C131" s="27" t="s">
        <v>234</v>
      </c>
      <c r="D131" s="27" t="s">
        <v>31</v>
      </c>
      <c r="E131" s="23" t="s">
        <v>131</v>
      </c>
      <c r="F131" s="23" t="s">
        <v>96</v>
      </c>
      <c r="G131" s="27">
        <v>7</v>
      </c>
      <c r="H131" s="21">
        <f>SUMIFS('表1- 本月物资进出明细账'!H:H,'表1- 本月物资进出明细账'!B:B,"入库",'表1- 本月物资进出明细账'!C:C,B:B,'表1- 本月物资进出明细账'!D:D,C:C)</f>
        <v>0</v>
      </c>
      <c r="I131" s="21">
        <f>SUMIFS('表1- 本月物资进出明细账'!H:H,'表1- 本月物资进出明细账'!B:B,"出库",'表1- 本月物资进出明细账'!C:C,B:B,'表1- 本月物资进出明细账'!D:D,C:C)</f>
        <v>1</v>
      </c>
      <c r="J131" s="24">
        <f t="shared" ref="J131:J158" si="4">G131+H131-I131</f>
        <v>6</v>
      </c>
      <c r="K131" s="21"/>
    </row>
    <row r="132" customHeight="1" spans="1:11">
      <c r="A132" s="21">
        <f t="shared" ref="A132:A146" si="5">ROW()-2</f>
        <v>130</v>
      </c>
      <c r="B132" s="27" t="s">
        <v>228</v>
      </c>
      <c r="C132" s="27" t="s">
        <v>235</v>
      </c>
      <c r="D132" s="27" t="s">
        <v>31</v>
      </c>
      <c r="E132" s="23" t="s">
        <v>131</v>
      </c>
      <c r="F132" s="23" t="s">
        <v>96</v>
      </c>
      <c r="G132" s="27">
        <v>0</v>
      </c>
      <c r="H132" s="21">
        <f>SUMIFS('表1- 本月物资进出明细账'!H:H,'表1- 本月物资进出明细账'!B:B,"入库",'表1- 本月物资进出明细账'!C:C,B:B,'表1- 本月物资进出明细账'!D:D,C:C)</f>
        <v>0</v>
      </c>
      <c r="I132" s="21">
        <f>SUMIFS('表1- 本月物资进出明细账'!H:H,'表1- 本月物资进出明细账'!B:B,"出库",'表1- 本月物资进出明细账'!C:C,B:B,'表1- 本月物资进出明细账'!D:D,C:C)</f>
        <v>0</v>
      </c>
      <c r="J132" s="21">
        <f t="shared" si="4"/>
        <v>0</v>
      </c>
      <c r="K132" s="21"/>
    </row>
    <row r="133" customHeight="1" spans="1:11">
      <c r="A133" s="21">
        <f t="shared" si="5"/>
        <v>131</v>
      </c>
      <c r="B133" s="27" t="s">
        <v>236</v>
      </c>
      <c r="C133" s="27" t="s">
        <v>237</v>
      </c>
      <c r="D133" s="27" t="s">
        <v>11</v>
      </c>
      <c r="E133" s="27" t="s">
        <v>99</v>
      </c>
      <c r="F133" s="27" t="s">
        <v>13</v>
      </c>
      <c r="G133" s="27">
        <v>0</v>
      </c>
      <c r="H133" s="21">
        <f>SUMIFS('表1- 本月物资进出明细账'!H:H,'表1- 本月物资进出明细账'!B:B,"入库",'表1- 本月物资进出明细账'!C:C,B:B,'表1- 本月物资进出明细账'!D:D,C:C)</f>
        <v>0</v>
      </c>
      <c r="I133" s="21">
        <f>SUMIFS('表1- 本月物资进出明细账'!H:H,'表1- 本月物资进出明细账'!B:B,"出库",'表1- 本月物资进出明细账'!C:C,B:B,'表1- 本月物资进出明细账'!D:D,C:C)</f>
        <v>0</v>
      </c>
      <c r="J133" s="26">
        <f t="shared" si="4"/>
        <v>0</v>
      </c>
      <c r="K133" s="21"/>
    </row>
    <row r="134" customHeight="1" spans="1:11">
      <c r="A134" s="21">
        <f t="shared" si="5"/>
        <v>132</v>
      </c>
      <c r="B134" s="27" t="s">
        <v>238</v>
      </c>
      <c r="C134" s="27" t="s">
        <v>239</v>
      </c>
      <c r="D134" s="27" t="s">
        <v>121</v>
      </c>
      <c r="E134" s="27" t="s">
        <v>99</v>
      </c>
      <c r="F134" s="27" t="s">
        <v>41</v>
      </c>
      <c r="G134" s="27">
        <v>1</v>
      </c>
      <c r="H134" s="21">
        <f>SUMIFS('表1- 本月物资进出明细账'!H:H,'表1- 本月物资进出明细账'!B:B,"入库",'表1- 本月物资进出明细账'!C:C,B:B,'表1- 本月物资进出明细账'!D:D,C:C)</f>
        <v>0</v>
      </c>
      <c r="I134" s="21">
        <f>SUMIFS('表1- 本月物资进出明细账'!H:H,'表1- 本月物资进出明细账'!B:B,"出库",'表1- 本月物资进出明细账'!C:C,B:B,'表1- 本月物资进出明细账'!D:D,C:C)</f>
        <v>0</v>
      </c>
      <c r="J134" s="26">
        <f t="shared" si="4"/>
        <v>1</v>
      </c>
      <c r="K134" s="21"/>
    </row>
    <row r="135" customHeight="1" spans="1:11">
      <c r="A135" s="21">
        <f t="shared" si="5"/>
        <v>133</v>
      </c>
      <c r="B135" s="27" t="s">
        <v>240</v>
      </c>
      <c r="C135" s="27" t="s">
        <v>241</v>
      </c>
      <c r="D135" s="27" t="s">
        <v>74</v>
      </c>
      <c r="E135" s="27" t="s">
        <v>146</v>
      </c>
      <c r="F135" s="27" t="s">
        <v>146</v>
      </c>
      <c r="G135" s="27">
        <v>0</v>
      </c>
      <c r="H135" s="21">
        <f>SUMIFS('表1- 本月物资进出明细账'!H:H,'表1- 本月物资进出明细账'!B:B,"入库",'表1- 本月物资进出明细账'!C:C,B:B,'表1- 本月物资进出明细账'!D:D,C:C)</f>
        <v>0</v>
      </c>
      <c r="I135" s="21">
        <f>SUMIFS('表1- 本月物资进出明细账'!H:H,'表1- 本月物资进出明细账'!B:B,"出库",'表1- 本月物资进出明细账'!C:C,B:B,'表1- 本月物资进出明细账'!D:D,C:C)</f>
        <v>0</v>
      </c>
      <c r="J135" s="26">
        <f t="shared" si="4"/>
        <v>0</v>
      </c>
      <c r="K135" s="21"/>
    </row>
    <row r="136" s="7" customFormat="1" customHeight="1" spans="1:11">
      <c r="A136" s="21">
        <f t="shared" si="5"/>
        <v>134</v>
      </c>
      <c r="B136" s="27" t="s">
        <v>242</v>
      </c>
      <c r="C136" s="27" t="s">
        <v>243</v>
      </c>
      <c r="D136" s="27" t="s">
        <v>65</v>
      </c>
      <c r="E136" s="27" t="s">
        <v>146</v>
      </c>
      <c r="F136" s="27" t="s">
        <v>146</v>
      </c>
      <c r="G136" s="27">
        <v>0</v>
      </c>
      <c r="H136" s="21">
        <f>SUMIFS('表1- 本月物资进出明细账'!H:H,'表1- 本月物资进出明细账'!B:B,"入库",'表1- 本月物资进出明细账'!C:C,B:B,'表1- 本月物资进出明细账'!D:D,C:C)</f>
        <v>0</v>
      </c>
      <c r="I136" s="21">
        <f>SUMIFS('表1- 本月物资进出明细账'!H:H,'表1- 本月物资进出明细账'!B:B,"出库",'表1- 本月物资进出明细账'!C:C,B:B,'表1- 本月物资进出明细账'!D:D,C:C)</f>
        <v>0</v>
      </c>
      <c r="J136" s="21">
        <f t="shared" si="4"/>
        <v>0</v>
      </c>
      <c r="K136" s="21"/>
    </row>
    <row r="137" customHeight="1" spans="1:11">
      <c r="A137" s="21">
        <f t="shared" si="5"/>
        <v>135</v>
      </c>
      <c r="B137" s="29" t="s">
        <v>244</v>
      </c>
      <c r="C137" s="27" t="s">
        <v>244</v>
      </c>
      <c r="D137" s="23" t="s">
        <v>156</v>
      </c>
      <c r="E137" s="23" t="s">
        <v>146</v>
      </c>
      <c r="F137" s="23" t="s">
        <v>146</v>
      </c>
      <c r="G137" s="27">
        <v>0</v>
      </c>
      <c r="H137" s="21">
        <f>SUMIFS('表1- 本月物资进出明细账'!H:H,'表1- 本月物资进出明细账'!B:B,"入库",'表1- 本月物资进出明细账'!C:C,B:B,'表1- 本月物资进出明细账'!D:D,C:C)</f>
        <v>0</v>
      </c>
      <c r="I137" s="21">
        <f>SUMIFS('表1- 本月物资进出明细账'!H:H,'表1- 本月物资进出明细账'!B:B,"出库",'表1- 本月物资进出明细账'!C:C,B:B,'表1- 本月物资进出明细账'!D:D,C:C)</f>
        <v>0</v>
      </c>
      <c r="J137" s="24">
        <f t="shared" si="4"/>
        <v>0</v>
      </c>
      <c r="K137" s="21"/>
    </row>
    <row r="138" customHeight="1" spans="1:11">
      <c r="A138" s="21">
        <f t="shared" si="5"/>
        <v>136</v>
      </c>
      <c r="B138" s="29" t="s">
        <v>245</v>
      </c>
      <c r="C138" s="27" t="s">
        <v>246</v>
      </c>
      <c r="D138" s="23" t="s">
        <v>51</v>
      </c>
      <c r="E138" s="23" t="s">
        <v>99</v>
      </c>
      <c r="F138" s="23" t="s">
        <v>41</v>
      </c>
      <c r="G138" s="27">
        <v>0</v>
      </c>
      <c r="H138" s="21">
        <f>SUMIFS('表1- 本月物资进出明细账'!H:H,'表1- 本月物资进出明细账'!B:B,"入库",'表1- 本月物资进出明细账'!C:C,B:B,'表1- 本月物资进出明细账'!D:D,C:C)</f>
        <v>0</v>
      </c>
      <c r="I138" s="21">
        <f>SUMIFS('表1- 本月物资进出明细账'!H:H,'表1- 本月物资进出明细账'!B:B,"出库",'表1- 本月物资进出明细账'!C:C,B:B,'表1- 本月物资进出明细账'!D:D,C:C)</f>
        <v>0</v>
      </c>
      <c r="J138" s="24">
        <f t="shared" si="4"/>
        <v>0</v>
      </c>
      <c r="K138" s="21"/>
    </row>
    <row r="139" customHeight="1" spans="1:11">
      <c r="A139" s="21">
        <f t="shared" si="5"/>
        <v>137</v>
      </c>
      <c r="B139" s="29" t="s">
        <v>247</v>
      </c>
      <c r="C139" s="27" t="s">
        <v>246</v>
      </c>
      <c r="D139" s="23" t="s">
        <v>51</v>
      </c>
      <c r="E139" s="23" t="s">
        <v>99</v>
      </c>
      <c r="F139" s="23" t="s">
        <v>41</v>
      </c>
      <c r="G139" s="27">
        <v>0</v>
      </c>
      <c r="H139" s="21">
        <f>SUMIFS('表1- 本月物资进出明细账'!H:H,'表1- 本月物资进出明细账'!B:B,"入库",'表1- 本月物资进出明细账'!C:C,B:B,'表1- 本月物资进出明细账'!D:D,C:C)</f>
        <v>0</v>
      </c>
      <c r="I139" s="21">
        <f>SUMIFS('表1- 本月物资进出明细账'!H:H,'表1- 本月物资进出明细账'!B:B,"出库",'表1- 本月物资进出明细账'!C:C,B:B,'表1- 本月物资进出明细账'!D:D,C:C)</f>
        <v>0</v>
      </c>
      <c r="J139" s="24">
        <f t="shared" si="4"/>
        <v>0</v>
      </c>
      <c r="K139" s="21"/>
    </row>
    <row r="140" customHeight="1" spans="1:11">
      <c r="A140" s="21">
        <f t="shared" si="5"/>
        <v>138</v>
      </c>
      <c r="B140" s="29" t="s">
        <v>248</v>
      </c>
      <c r="C140" s="27" t="s">
        <v>248</v>
      </c>
      <c r="D140" s="23" t="s">
        <v>51</v>
      </c>
      <c r="E140" s="23" t="s">
        <v>12</v>
      </c>
      <c r="F140" s="23" t="s">
        <v>41</v>
      </c>
      <c r="G140" s="27">
        <v>0</v>
      </c>
      <c r="H140" s="21">
        <f>SUMIFS('表1- 本月物资进出明细账'!H:H,'表1- 本月物资进出明细账'!B:B,"入库",'表1- 本月物资进出明细账'!C:C,B:B,'表1- 本月物资进出明细账'!D:D,C:C)</f>
        <v>0</v>
      </c>
      <c r="I140" s="21">
        <f>SUMIFS('表1- 本月物资进出明细账'!H:H,'表1- 本月物资进出明细账'!B:B,"出库",'表1- 本月物资进出明细账'!C:C,B:B,'表1- 本月物资进出明细账'!D:D,C:C)</f>
        <v>0</v>
      </c>
      <c r="J140" s="24">
        <f t="shared" si="4"/>
        <v>0</v>
      </c>
      <c r="K140" s="21"/>
    </row>
    <row r="141" customHeight="1" spans="1:11">
      <c r="A141" s="21">
        <f t="shared" si="5"/>
        <v>139</v>
      </c>
      <c r="B141" s="29" t="s">
        <v>249</v>
      </c>
      <c r="C141" s="27" t="s">
        <v>250</v>
      </c>
      <c r="D141" s="23" t="s">
        <v>152</v>
      </c>
      <c r="E141" s="23" t="s">
        <v>85</v>
      </c>
      <c r="F141" s="23" t="s">
        <v>41</v>
      </c>
      <c r="G141" s="27">
        <v>0</v>
      </c>
      <c r="H141" s="21">
        <f>SUMIFS('表1- 本月物资进出明细账'!H:H,'表1- 本月物资进出明细账'!B:B,"入库",'表1- 本月物资进出明细账'!C:C,B:B,'表1- 本月物资进出明细账'!D:D,C:C)</f>
        <v>0</v>
      </c>
      <c r="I141" s="21">
        <f>SUMIFS('表1- 本月物资进出明细账'!H:H,'表1- 本月物资进出明细账'!B:B,"出库",'表1- 本月物资进出明细账'!C:C,B:B,'表1- 本月物资进出明细账'!D:D,C:C)</f>
        <v>0</v>
      </c>
      <c r="J141" s="24">
        <f t="shared" si="4"/>
        <v>0</v>
      </c>
      <c r="K141" s="21"/>
    </row>
    <row r="142" customHeight="1" spans="1:11">
      <c r="A142" s="21">
        <f t="shared" ref="A142:A151" si="6">ROW()-2</f>
        <v>140</v>
      </c>
      <c r="B142" s="29" t="s">
        <v>251</v>
      </c>
      <c r="C142" s="27" t="s">
        <v>252</v>
      </c>
      <c r="D142" s="23" t="s">
        <v>51</v>
      </c>
      <c r="E142" s="23" t="s">
        <v>54</v>
      </c>
      <c r="F142" s="23" t="s">
        <v>41</v>
      </c>
      <c r="G142" s="27">
        <v>12</v>
      </c>
      <c r="H142" s="21">
        <f>SUMIFS('表1- 本月物资进出明细账'!H:H,'表1- 本月物资进出明细账'!B:B,"入库",'表1- 本月物资进出明细账'!C:C,B:B,'表1- 本月物资进出明细账'!D:D,C:C)</f>
        <v>0</v>
      </c>
      <c r="I142" s="21">
        <f>SUMIFS('表1- 本月物资进出明细账'!H:H,'表1- 本月物资进出明细账'!B:B,"出库",'表1- 本月物资进出明细账'!C:C,B:B,'表1- 本月物资进出明细账'!D:D,C:C)</f>
        <v>0</v>
      </c>
      <c r="J142" s="24">
        <f t="shared" si="4"/>
        <v>12</v>
      </c>
      <c r="K142" s="21"/>
    </row>
    <row r="143" customHeight="1" spans="1:11">
      <c r="A143" s="21">
        <f t="shared" si="6"/>
        <v>141</v>
      </c>
      <c r="B143" s="29" t="s">
        <v>253</v>
      </c>
      <c r="C143" s="27" t="s">
        <v>254</v>
      </c>
      <c r="D143" s="23" t="s">
        <v>51</v>
      </c>
      <c r="E143" s="23" t="s">
        <v>99</v>
      </c>
      <c r="F143" s="23" t="s">
        <v>41</v>
      </c>
      <c r="G143" s="27">
        <v>0</v>
      </c>
      <c r="H143" s="21">
        <f>SUMIFS('表1- 本月物资进出明细账'!H:H,'表1- 本月物资进出明细账'!B:B,"入库",'表1- 本月物资进出明细账'!C:C,B:B,'表1- 本月物资进出明细账'!D:D,C:C)</f>
        <v>0</v>
      </c>
      <c r="I143" s="21">
        <f>SUMIFS('表1- 本月物资进出明细账'!H:H,'表1- 本月物资进出明细账'!B:B,"出库",'表1- 本月物资进出明细账'!C:C,B:B,'表1- 本月物资进出明细账'!D:D,C:C)</f>
        <v>0</v>
      </c>
      <c r="J143" s="24">
        <f t="shared" si="4"/>
        <v>0</v>
      </c>
      <c r="K143" s="21"/>
    </row>
    <row r="144" customHeight="1" spans="1:11">
      <c r="A144" s="21">
        <f t="shared" si="6"/>
        <v>142</v>
      </c>
      <c r="B144" s="29" t="s">
        <v>255</v>
      </c>
      <c r="C144" s="27" t="s">
        <v>256</v>
      </c>
      <c r="D144" s="23" t="s">
        <v>257</v>
      </c>
      <c r="E144" s="23" t="s">
        <v>99</v>
      </c>
      <c r="F144" s="23" t="s">
        <v>41</v>
      </c>
      <c r="G144" s="27">
        <v>0</v>
      </c>
      <c r="H144" s="21">
        <f>SUMIFS('表1- 本月物资进出明细账'!H:H,'表1- 本月物资进出明细账'!B:B,"入库",'表1- 本月物资进出明细账'!C:C,B:B,'表1- 本月物资进出明细账'!D:D,C:C)</f>
        <v>0</v>
      </c>
      <c r="I144" s="21">
        <f>SUMIFS('表1- 本月物资进出明细账'!H:H,'表1- 本月物资进出明细账'!B:B,"出库",'表1- 本月物资进出明细账'!C:C,B:B,'表1- 本月物资进出明细账'!D:D,C:C)</f>
        <v>0</v>
      </c>
      <c r="J144" s="24">
        <f t="shared" si="4"/>
        <v>0</v>
      </c>
      <c r="K144" s="21"/>
    </row>
    <row r="145" customHeight="1" spans="1:11">
      <c r="A145" s="21">
        <f t="shared" si="6"/>
        <v>143</v>
      </c>
      <c r="B145" s="29" t="s">
        <v>258</v>
      </c>
      <c r="C145" s="27" t="s">
        <v>256</v>
      </c>
      <c r="D145" s="23" t="s">
        <v>257</v>
      </c>
      <c r="E145" s="23" t="s">
        <v>99</v>
      </c>
      <c r="F145" s="23" t="s">
        <v>41</v>
      </c>
      <c r="G145" s="27">
        <v>0</v>
      </c>
      <c r="H145" s="21">
        <f>SUMIFS('表1- 本月物资进出明细账'!H:H,'表1- 本月物资进出明细账'!B:B,"入库",'表1- 本月物资进出明细账'!C:C,B:B,'表1- 本月物资进出明细账'!D:D,C:C)</f>
        <v>0</v>
      </c>
      <c r="I145" s="21">
        <f>SUMIFS('表1- 本月物资进出明细账'!H:H,'表1- 本月物资进出明细账'!B:B,"出库",'表1- 本月物资进出明细账'!C:C,B:B,'表1- 本月物资进出明细账'!D:D,C:C)</f>
        <v>0</v>
      </c>
      <c r="J145" s="24">
        <f t="shared" si="4"/>
        <v>0</v>
      </c>
      <c r="K145" s="21"/>
    </row>
    <row r="146" customHeight="1" spans="1:11">
      <c r="A146" s="21">
        <f t="shared" si="6"/>
        <v>144</v>
      </c>
      <c r="B146" s="29" t="s">
        <v>259</v>
      </c>
      <c r="C146" s="27" t="s">
        <v>260</v>
      </c>
      <c r="D146" s="23" t="s">
        <v>257</v>
      </c>
      <c r="E146" s="23" t="s">
        <v>99</v>
      </c>
      <c r="F146" s="23" t="s">
        <v>41</v>
      </c>
      <c r="G146" s="27">
        <v>0</v>
      </c>
      <c r="H146" s="21">
        <f>SUMIFS('表1- 本月物资进出明细账'!H:H,'表1- 本月物资进出明细账'!B:B,"入库",'表1- 本月物资进出明细账'!C:C,B:B,'表1- 本月物资进出明细账'!D:D,C:C)</f>
        <v>0</v>
      </c>
      <c r="I146" s="21">
        <f>SUMIFS('表1- 本月物资进出明细账'!H:H,'表1- 本月物资进出明细账'!B:B,"出库",'表1- 本月物资进出明细账'!C:C,B:B,'表1- 本月物资进出明细账'!D:D,C:C)</f>
        <v>0</v>
      </c>
      <c r="J146" s="24">
        <f t="shared" si="4"/>
        <v>0</v>
      </c>
      <c r="K146" s="21"/>
    </row>
    <row r="147" customHeight="1" spans="1:11">
      <c r="A147" s="21">
        <f t="shared" si="6"/>
        <v>145</v>
      </c>
      <c r="B147" s="29" t="s">
        <v>261</v>
      </c>
      <c r="C147" s="27" t="s">
        <v>262</v>
      </c>
      <c r="D147" s="23" t="s">
        <v>94</v>
      </c>
      <c r="E147" s="23" t="s">
        <v>99</v>
      </c>
      <c r="F147" s="23" t="s">
        <v>41</v>
      </c>
      <c r="G147" s="27">
        <v>0</v>
      </c>
      <c r="H147" s="21">
        <f>SUMIFS('表1- 本月物资进出明细账'!H:H,'表1- 本月物资进出明细账'!B:B,"入库",'表1- 本月物资进出明细账'!C:C,B:B,'表1- 本月物资进出明细账'!D:D,C:C)</f>
        <v>0</v>
      </c>
      <c r="I147" s="21">
        <f>SUMIFS('表1- 本月物资进出明细账'!H:H,'表1- 本月物资进出明细账'!B:B,"出库",'表1- 本月物资进出明细账'!C:C,B:B,'表1- 本月物资进出明细账'!D:D,C:C)</f>
        <v>0</v>
      </c>
      <c r="J147" s="24">
        <f t="shared" si="4"/>
        <v>0</v>
      </c>
      <c r="K147" s="21"/>
    </row>
    <row r="148" customHeight="1" spans="1:11">
      <c r="A148" s="21">
        <f t="shared" si="6"/>
        <v>146</v>
      </c>
      <c r="B148" s="29" t="s">
        <v>263</v>
      </c>
      <c r="C148" s="27" t="s">
        <v>264</v>
      </c>
      <c r="D148" s="23" t="s">
        <v>11</v>
      </c>
      <c r="E148" s="23" t="s">
        <v>146</v>
      </c>
      <c r="F148" s="23" t="s">
        <v>146</v>
      </c>
      <c r="G148" s="27">
        <v>0</v>
      </c>
      <c r="H148" s="21">
        <f>SUMIFS('表1- 本月物资进出明细账'!H:H,'表1- 本月物资进出明细账'!B:B,"入库",'表1- 本月物资进出明细账'!C:C,B:B,'表1- 本月物资进出明细账'!D:D,C:C)</f>
        <v>0</v>
      </c>
      <c r="I148" s="21">
        <f>SUMIFS('表1- 本月物资进出明细账'!H:H,'表1- 本月物资进出明细账'!B:B,"出库",'表1- 本月物资进出明细账'!C:C,B:B,'表1- 本月物资进出明细账'!D:D,C:C)</f>
        <v>0</v>
      </c>
      <c r="J148" s="24">
        <f t="shared" si="4"/>
        <v>0</v>
      </c>
      <c r="K148" s="21"/>
    </row>
    <row r="149" customHeight="1" spans="1:11">
      <c r="A149" s="21">
        <f t="shared" si="6"/>
        <v>147</v>
      </c>
      <c r="B149" s="29" t="s">
        <v>265</v>
      </c>
      <c r="C149" s="27" t="s">
        <v>266</v>
      </c>
      <c r="D149" s="23" t="s">
        <v>11</v>
      </c>
      <c r="E149" s="23" t="s">
        <v>99</v>
      </c>
      <c r="F149" s="23" t="s">
        <v>13</v>
      </c>
      <c r="G149" s="27">
        <v>0</v>
      </c>
      <c r="H149" s="21">
        <f>SUMIFS('表1- 本月物资进出明细账'!H:H,'表1- 本月物资进出明细账'!B:B,"入库",'表1- 本月物资进出明细账'!C:C,B:B,'表1- 本月物资进出明细账'!D:D,C:C)</f>
        <v>0</v>
      </c>
      <c r="I149" s="21">
        <f>SUMIFS('表1- 本月物资进出明细账'!H:H,'表1- 本月物资进出明细账'!B:B,"出库",'表1- 本月物资进出明细账'!C:C,B:B,'表1- 本月物资进出明细账'!D:D,C:C)</f>
        <v>0</v>
      </c>
      <c r="J149" s="24">
        <f t="shared" si="4"/>
        <v>0</v>
      </c>
      <c r="K149" s="21"/>
    </row>
    <row r="150" customHeight="1" spans="1:11">
      <c r="A150" s="21">
        <f t="shared" si="6"/>
        <v>148</v>
      </c>
      <c r="B150" s="29" t="s">
        <v>267</v>
      </c>
      <c r="C150" s="27" t="s">
        <v>268</v>
      </c>
      <c r="D150" s="23" t="s">
        <v>162</v>
      </c>
      <c r="E150" s="23" t="s">
        <v>99</v>
      </c>
      <c r="F150" s="23" t="s">
        <v>13</v>
      </c>
      <c r="G150" s="27">
        <v>0</v>
      </c>
      <c r="H150" s="21">
        <f>SUMIFS('表1- 本月物资进出明细账'!H:H,'表1- 本月物资进出明细账'!B:B,"入库",'表1- 本月物资进出明细账'!C:C,B:B,'表1- 本月物资进出明细账'!D:D,C:C)</f>
        <v>0</v>
      </c>
      <c r="I150" s="21">
        <f>SUMIFS('表1- 本月物资进出明细账'!H:H,'表1- 本月物资进出明细账'!B:B,"出库",'表1- 本月物资进出明细账'!C:C,B:B,'表1- 本月物资进出明细账'!D:D,C:C)</f>
        <v>0</v>
      </c>
      <c r="J150" s="24">
        <f t="shared" si="4"/>
        <v>0</v>
      </c>
      <c r="K150" s="21"/>
    </row>
    <row r="151" customHeight="1" spans="1:11">
      <c r="A151" s="21">
        <f t="shared" si="6"/>
        <v>149</v>
      </c>
      <c r="B151" s="29" t="s">
        <v>269</v>
      </c>
      <c r="C151" s="27" t="s">
        <v>270</v>
      </c>
      <c r="D151" s="23" t="s">
        <v>271</v>
      </c>
      <c r="E151" s="23" t="s">
        <v>12</v>
      </c>
      <c r="F151" s="23" t="s">
        <v>13</v>
      </c>
      <c r="G151" s="27">
        <v>0</v>
      </c>
      <c r="H151" s="21">
        <f>SUMIFS('表1- 本月物资进出明细账'!H:H,'表1- 本月物资进出明细账'!B:B,"入库",'表1- 本月物资进出明细账'!C:C,B:B,'表1- 本月物资进出明细账'!D:D,C:C)</f>
        <v>0</v>
      </c>
      <c r="I151" s="21">
        <f>SUMIFS('表1- 本月物资进出明细账'!H:H,'表1- 本月物资进出明细账'!B:B,"出库",'表1- 本月物资进出明细账'!C:C,B:B,'表1- 本月物资进出明细账'!D:D,C:C)</f>
        <v>0</v>
      </c>
      <c r="J151" s="24">
        <f t="shared" si="4"/>
        <v>0</v>
      </c>
      <c r="K151" s="21"/>
    </row>
    <row r="152" customHeight="1" spans="1:11">
      <c r="A152" s="21">
        <f t="shared" ref="A152:A158" si="7">ROW()-2</f>
        <v>150</v>
      </c>
      <c r="B152" s="29" t="s">
        <v>56</v>
      </c>
      <c r="C152" s="27" t="s">
        <v>272</v>
      </c>
      <c r="D152" s="23" t="s">
        <v>22</v>
      </c>
      <c r="E152" s="23" t="s">
        <v>99</v>
      </c>
      <c r="F152" s="23" t="s">
        <v>13</v>
      </c>
      <c r="G152" s="27">
        <v>1</v>
      </c>
      <c r="H152" s="21">
        <f>SUMIFS('表1- 本月物资进出明细账'!H:H,'表1- 本月物资进出明细账'!B:B,"入库",'表1- 本月物资进出明细账'!C:C,B:B,'表1- 本月物资进出明细账'!D:D,C:C)</f>
        <v>0</v>
      </c>
      <c r="I152" s="21">
        <f>SUMIFS('表1- 本月物资进出明细账'!H:H,'表1- 本月物资进出明细账'!B:B,"出库",'表1- 本月物资进出明细账'!C:C,B:B,'表1- 本月物资进出明细账'!D:D,C:C)</f>
        <v>1</v>
      </c>
      <c r="J152" s="24">
        <f t="shared" si="4"/>
        <v>0</v>
      </c>
      <c r="K152" s="21"/>
    </row>
    <row r="153" customHeight="1" spans="1:11">
      <c r="A153" s="21">
        <f t="shared" si="7"/>
        <v>151</v>
      </c>
      <c r="B153" s="29" t="s">
        <v>273</v>
      </c>
      <c r="C153" s="27" t="s">
        <v>274</v>
      </c>
      <c r="D153" s="23" t="s">
        <v>271</v>
      </c>
      <c r="E153" s="23" t="s">
        <v>99</v>
      </c>
      <c r="F153" s="23" t="s">
        <v>13</v>
      </c>
      <c r="G153" s="27">
        <v>0</v>
      </c>
      <c r="H153" s="21">
        <f>SUMIFS('表1- 本月物资进出明细账'!H:H,'表1- 本月物资进出明细账'!B:B,"入库",'表1- 本月物资进出明细账'!C:C,B:B,'表1- 本月物资进出明细账'!D:D,C:C)</f>
        <v>0</v>
      </c>
      <c r="I153" s="21">
        <f>SUMIFS('表1- 本月物资进出明细账'!H:H,'表1- 本月物资进出明细账'!B:B,"出库",'表1- 本月物资进出明细账'!C:C,B:B,'表1- 本月物资进出明细账'!D:D,C:C)</f>
        <v>0</v>
      </c>
      <c r="J153" s="24">
        <f t="shared" si="4"/>
        <v>0</v>
      </c>
      <c r="K153" s="21"/>
    </row>
    <row r="154" customHeight="1" spans="1:11">
      <c r="A154" s="21">
        <f t="shared" si="7"/>
        <v>152</v>
      </c>
      <c r="B154" s="29" t="s">
        <v>275</v>
      </c>
      <c r="C154" s="27" t="s">
        <v>276</v>
      </c>
      <c r="D154" s="23" t="s">
        <v>271</v>
      </c>
      <c r="E154" s="23" t="s">
        <v>99</v>
      </c>
      <c r="F154" s="23" t="s">
        <v>13</v>
      </c>
      <c r="G154" s="27">
        <v>0</v>
      </c>
      <c r="H154" s="21">
        <f>SUMIFS('表1- 本月物资进出明细账'!H:H,'表1- 本月物资进出明细账'!B:B,"入库",'表1- 本月物资进出明细账'!C:C,B:B,'表1- 本月物资进出明细账'!D:D,C:C)</f>
        <v>0</v>
      </c>
      <c r="I154" s="21">
        <f>SUMIFS('表1- 本月物资进出明细账'!H:H,'表1- 本月物资进出明细账'!B:B,"出库",'表1- 本月物资进出明细账'!C:C,B:B,'表1- 本月物资进出明细账'!D:D,C:C)</f>
        <v>0</v>
      </c>
      <c r="J154" s="24">
        <f t="shared" si="4"/>
        <v>0</v>
      </c>
      <c r="K154" s="21"/>
    </row>
    <row r="155" customHeight="1" spans="1:11">
      <c r="A155" s="21">
        <f t="shared" si="7"/>
        <v>153</v>
      </c>
      <c r="B155" s="29" t="s">
        <v>277</v>
      </c>
      <c r="C155" s="27" t="s">
        <v>278</v>
      </c>
      <c r="D155" s="23" t="s">
        <v>11</v>
      </c>
      <c r="E155" s="23" t="s">
        <v>12</v>
      </c>
      <c r="F155" s="23" t="s">
        <v>13</v>
      </c>
      <c r="G155" s="27">
        <v>1</v>
      </c>
      <c r="H155" s="21">
        <f>SUMIFS('表1- 本月物资进出明细账'!H:H,'表1- 本月物资进出明细账'!B:B,"入库",'表1- 本月物资进出明细账'!C:C,B:B,'表1- 本月物资进出明细账'!D:D,C:C)</f>
        <v>0</v>
      </c>
      <c r="I155" s="21">
        <f>SUMIFS('表1- 本月物资进出明细账'!H:H,'表1- 本月物资进出明细账'!B:B,"出库",'表1- 本月物资进出明细账'!C:C,B:B,'表1- 本月物资进出明细账'!D:D,C:C)</f>
        <v>0</v>
      </c>
      <c r="J155" s="24">
        <f t="shared" si="4"/>
        <v>1</v>
      </c>
      <c r="K155" s="21"/>
    </row>
    <row r="156" customHeight="1" spans="1:11">
      <c r="A156" s="21">
        <f t="shared" si="7"/>
        <v>154</v>
      </c>
      <c r="B156" s="29" t="s">
        <v>279</v>
      </c>
      <c r="C156" s="27" t="s">
        <v>280</v>
      </c>
      <c r="D156" s="23" t="s">
        <v>11</v>
      </c>
      <c r="E156" s="23" t="s">
        <v>12</v>
      </c>
      <c r="F156" s="23" t="s">
        <v>13</v>
      </c>
      <c r="G156" s="27">
        <v>1</v>
      </c>
      <c r="H156" s="21">
        <f>SUMIFS('表1- 本月物资进出明细账'!H:H,'表1- 本月物资进出明细账'!B:B,"入库",'表1- 本月物资进出明细账'!C:C,B:B,'表1- 本月物资进出明细账'!D:D,C:C)</f>
        <v>0</v>
      </c>
      <c r="I156" s="21">
        <f>SUMIFS('表1- 本月物资进出明细账'!H:H,'表1- 本月物资进出明细账'!B:B,"出库",'表1- 本月物资进出明细账'!C:C,B:B,'表1- 本月物资进出明细账'!D:D,C:C)</f>
        <v>0</v>
      </c>
      <c r="J156" s="24">
        <f t="shared" si="4"/>
        <v>1</v>
      </c>
      <c r="K156" s="21"/>
    </row>
    <row r="157" customHeight="1" spans="1:11">
      <c r="A157" s="21">
        <f t="shared" si="7"/>
        <v>155</v>
      </c>
      <c r="B157" s="29" t="s">
        <v>281</v>
      </c>
      <c r="C157" s="27" t="s">
        <v>282</v>
      </c>
      <c r="D157" s="23" t="s">
        <v>11</v>
      </c>
      <c r="E157" s="23" t="s">
        <v>12</v>
      </c>
      <c r="F157" s="23" t="s">
        <v>13</v>
      </c>
      <c r="G157" s="27">
        <v>2</v>
      </c>
      <c r="H157" s="21">
        <f>SUMIFS('表1- 本月物资进出明细账'!H:H,'表1- 本月物资进出明细账'!B:B,"入库",'表1- 本月物资进出明细账'!C:C,B:B,'表1- 本月物资进出明细账'!D:D,C:C)</f>
        <v>0</v>
      </c>
      <c r="I157" s="21">
        <f>SUMIFS('表1- 本月物资进出明细账'!H:H,'表1- 本月物资进出明细账'!B:B,"出库",'表1- 本月物资进出明细账'!C:C,B:B,'表1- 本月物资进出明细账'!D:D,C:C)</f>
        <v>0</v>
      </c>
      <c r="J157" s="24">
        <f t="shared" si="4"/>
        <v>2</v>
      </c>
      <c r="K157" s="21"/>
    </row>
    <row r="158" customHeight="1" spans="1:11">
      <c r="A158" s="21">
        <f t="shared" si="7"/>
        <v>156</v>
      </c>
      <c r="B158" s="29" t="s">
        <v>283</v>
      </c>
      <c r="C158" s="27" t="s">
        <v>283</v>
      </c>
      <c r="D158" s="23" t="s">
        <v>11</v>
      </c>
      <c r="E158" s="23" t="s">
        <v>12</v>
      </c>
      <c r="F158" s="23" t="s">
        <v>13</v>
      </c>
      <c r="G158" s="27">
        <v>1</v>
      </c>
      <c r="H158" s="21">
        <f>SUMIFS('表1- 本月物资进出明细账'!H:H,'表1- 本月物资进出明细账'!B:B,"入库",'表1- 本月物资进出明细账'!C:C,B:B,'表1- 本月物资进出明细账'!D:D,C:C)</f>
        <v>0</v>
      </c>
      <c r="I158" s="21">
        <f>SUMIFS('表1- 本月物资进出明细账'!H:H,'表1- 本月物资进出明细账'!B:B,"出库",'表1- 本月物资进出明细账'!C:C,B:B,'表1- 本月物资进出明细账'!D:D,C:C)</f>
        <v>0</v>
      </c>
      <c r="J158" s="24">
        <f t="shared" si="4"/>
        <v>1</v>
      </c>
      <c r="K158" s="21"/>
    </row>
    <row r="159" customHeight="1" spans="1:11">
      <c r="G159" s="8">
        <f>SUM(G3:G158)</f>
        <v>6985.1</v>
      </c>
      <c r="H159" s="8">
        <f>SUM(H3:H158)</f>
        <v>110</v>
      </c>
      <c r="I159" s="8">
        <f>SUM(I3:I158)</f>
        <v>1214</v>
      </c>
      <c r="J159" s="8">
        <f>SUM(J3:J158)</f>
        <v>5881.1</v>
      </c>
    </row>
  </sheetData>
  <autoFilter xmlns:etc="http://www.wps.cn/officeDocument/2017/etCustomData" ref="A2:K159" etc:filterBottomFollowUsedRange="0">
    <extLst/>
  </autoFilter>
  <mergeCells count="2">
    <mergeCell ref="A1:H1"/>
    <mergeCell ref="I1:K1"/>
  </mergeCells>
  <pageMargins left="0.236111111111111" right="0.236111111111111" top="0.354166666666667" bottom="0.354166666666667" header="0.298611111111111" footer="0.298611111111111"/>
  <pageSetup paperSize="9" scale="70" orientation="portrait" horizontalDpi="6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02"/>
  <sheetViews>
    <sheetView topLeftCell="A45" workbookViewId="0">
      <selection activeCell="C67" sqref="C67"/>
    </sheetView>
  </sheetViews>
  <sheetFormatPr defaultColWidth="9" defaultRowHeight="20" customHeight="1"/>
  <cols>
    <col min="1" max="1" width="19.5" style="2"/>
    <col min="2" max="5" width="15.5" style="3" customWidth="1"/>
    <col min="6" max="7" width="9" style="3"/>
    <col min="8" max="9" width="17.75" style="3" customWidth="1"/>
    <col min="10" max="10" width="18.1333333333333" style="3" customWidth="1"/>
    <col min="11" max="11" width="17.75" style="3" customWidth="1"/>
    <col min="12" max="12" width="9.13333333333333" style="3" customWidth="1"/>
    <col min="13" max="13" width="9" style="3"/>
    <col min="14" max="17" width="18.1333333333333" style="2" customWidth="1"/>
    <col min="18" max="16384" width="9" style="2"/>
  </cols>
  <sheetData>
    <row r="1" customHeight="1" spans="1:17">
      <c r="A1" s="2" t="s">
        <v>328</v>
      </c>
    </row>
    <row r="2" ht="97" customHeight="1"/>
    <row r="5" customHeight="1" spans="1:17">
      <c r="A5" s="4" t="s">
        <v>329</v>
      </c>
      <c r="B5" s="4"/>
      <c r="C5" s="4"/>
      <c r="D5" s="4"/>
      <c r="E5" s="4"/>
      <c r="H5" s="4" t="s">
        <v>330</v>
      </c>
      <c r="I5" s="4"/>
      <c r="J5" s="4"/>
      <c r="K5" s="4"/>
      <c r="N5" s="4" t="s">
        <v>331</v>
      </c>
      <c r="O5" s="4"/>
      <c r="P5" s="4"/>
      <c r="Q5" s="4"/>
    </row>
    <row r="6" customHeight="1" spans="1:17">
      <c r="A6" s="2" t="s">
        <v>332</v>
      </c>
      <c r="B6" s="3" t="s">
        <v>0</v>
      </c>
      <c r="C6" s="2"/>
      <c r="D6" s="2"/>
      <c r="E6"/>
      <c r="H6" s="3" t="s">
        <v>0</v>
      </c>
      <c r="I6" s="2" t="s">
        <v>1</v>
      </c>
      <c r="J6" s="2" t="s">
        <v>332</v>
      </c>
      <c r="K6"/>
      <c r="L6"/>
      <c r="M6"/>
      <c r="N6" s="3" t="s">
        <v>0</v>
      </c>
      <c r="O6" s="2" t="s">
        <v>1</v>
      </c>
      <c r="P6" s="2" t="s">
        <v>332</v>
      </c>
      <c r="Q6"/>
    </row>
    <row r="7" customHeight="1" spans="1:17">
      <c r="A7" s="2" t="s">
        <v>1</v>
      </c>
      <c r="B7" s="3" t="s">
        <v>8</v>
      </c>
      <c r="C7" s="3" t="s">
        <v>333</v>
      </c>
      <c r="D7" s="3" t="s">
        <v>334</v>
      </c>
      <c r="E7"/>
      <c r="H7" s="2" t="s">
        <v>8</v>
      </c>
      <c r="I7" s="2"/>
      <c r="J7" s="3">
        <v>2038</v>
      </c>
      <c r="K7"/>
      <c r="L7"/>
      <c r="M7"/>
      <c r="N7" s="2" t="s">
        <v>8</v>
      </c>
      <c r="P7" s="3">
        <v>2038</v>
      </c>
      <c r="Q7"/>
    </row>
    <row r="8" customHeight="1" spans="1:17">
      <c r="A8" s="2" t="s">
        <v>124</v>
      </c>
      <c r="B8" s="3">
        <v>1</v>
      </c>
      <c r="D8" s="3">
        <v>1</v>
      </c>
      <c r="E8"/>
      <c r="H8" s="2"/>
      <c r="I8" s="2" t="s">
        <v>124</v>
      </c>
      <c r="J8" s="3">
        <v>1</v>
      </c>
      <c r="K8"/>
      <c r="L8"/>
      <c r="M8"/>
      <c r="O8" s="2" t="s">
        <v>124</v>
      </c>
      <c r="P8" s="3">
        <v>1</v>
      </c>
      <c r="Q8"/>
    </row>
    <row r="9" customHeight="1" spans="1:17">
      <c r="A9" s="2" t="s">
        <v>333</v>
      </c>
      <c r="E9"/>
      <c r="H9" s="2"/>
      <c r="I9" s="2" t="s">
        <v>277</v>
      </c>
      <c r="J9" s="3">
        <v>1</v>
      </c>
      <c r="K9"/>
      <c r="L9"/>
      <c r="M9"/>
      <c r="O9" s="2" t="s">
        <v>277</v>
      </c>
      <c r="P9" s="3">
        <v>1</v>
      </c>
      <c r="Q9"/>
    </row>
    <row r="10" customHeight="1" spans="1:17">
      <c r="A10" s="2" t="s">
        <v>33</v>
      </c>
      <c r="B10" s="3">
        <v>18</v>
      </c>
      <c r="D10" s="3">
        <v>18</v>
      </c>
      <c r="E10"/>
      <c r="H10" s="2"/>
      <c r="I10" s="2" t="s">
        <v>279</v>
      </c>
      <c r="J10" s="3">
        <v>2</v>
      </c>
      <c r="K10"/>
      <c r="L10"/>
      <c r="M10"/>
      <c r="O10" s="2" t="s">
        <v>279</v>
      </c>
      <c r="P10" s="3">
        <v>2</v>
      </c>
      <c r="Q10"/>
    </row>
    <row r="11" customHeight="1" spans="1:17">
      <c r="A11" s="2" t="s">
        <v>219</v>
      </c>
      <c r="B11" s="3">
        <v>28</v>
      </c>
      <c r="D11" s="3">
        <v>28</v>
      </c>
      <c r="E11"/>
      <c r="H11" s="2"/>
      <c r="I11" s="2" t="s">
        <v>281</v>
      </c>
      <c r="J11" s="3">
        <v>2</v>
      </c>
      <c r="K11"/>
      <c r="L11"/>
      <c r="M11"/>
      <c r="O11" s="2" t="s">
        <v>281</v>
      </c>
      <c r="P11" s="3">
        <v>2</v>
      </c>
      <c r="Q11"/>
    </row>
    <row r="12" customHeight="1" spans="1:17">
      <c r="A12" s="2" t="s">
        <v>27</v>
      </c>
      <c r="B12" s="3">
        <v>62</v>
      </c>
      <c r="D12" s="3">
        <v>62</v>
      </c>
      <c r="E12"/>
      <c r="H12" s="2"/>
      <c r="I12" s="2" t="s">
        <v>283</v>
      </c>
      <c r="J12" s="3">
        <v>3</v>
      </c>
      <c r="K12"/>
      <c r="L12"/>
      <c r="M12"/>
      <c r="O12" s="2" t="s">
        <v>283</v>
      </c>
      <c r="P12" s="3">
        <v>3</v>
      </c>
      <c r="Q12"/>
    </row>
    <row r="13" customHeight="1" spans="1:17">
      <c r="A13" s="2" t="s">
        <v>105</v>
      </c>
      <c r="B13" s="3">
        <v>9</v>
      </c>
      <c r="D13" s="3">
        <v>9</v>
      </c>
      <c r="E13"/>
      <c r="H13" s="2"/>
      <c r="I13" s="2" t="s">
        <v>154</v>
      </c>
      <c r="J13" s="3">
        <v>4</v>
      </c>
      <c r="K13"/>
      <c r="L13"/>
      <c r="M13"/>
      <c r="O13" s="2" t="s">
        <v>154</v>
      </c>
      <c r="P13" s="3">
        <v>4</v>
      </c>
      <c r="Q13"/>
    </row>
    <row r="14" customHeight="1" spans="1:17">
      <c r="A14" s="2" t="s">
        <v>72</v>
      </c>
      <c r="B14" s="3">
        <v>30</v>
      </c>
      <c r="D14" s="3">
        <v>30</v>
      </c>
      <c r="E14"/>
      <c r="H14" s="2"/>
      <c r="I14" s="2" t="s">
        <v>203</v>
      </c>
      <c r="J14" s="3">
        <v>6</v>
      </c>
      <c r="K14"/>
      <c r="L14"/>
      <c r="M14"/>
      <c r="O14" s="2" t="s">
        <v>203</v>
      </c>
      <c r="P14" s="3">
        <v>6</v>
      </c>
      <c r="Q14"/>
    </row>
    <row r="15" customHeight="1" spans="1:17">
      <c r="A15" s="2" t="s">
        <v>203</v>
      </c>
      <c r="B15" s="3">
        <v>6</v>
      </c>
      <c r="D15" s="3">
        <v>6</v>
      </c>
      <c r="E15"/>
      <c r="H15" s="2"/>
      <c r="I15" s="2" t="s">
        <v>59</v>
      </c>
      <c r="J15" s="3">
        <v>6</v>
      </c>
      <c r="K15"/>
      <c r="O15" s="2" t="s">
        <v>59</v>
      </c>
      <c r="P15" s="3">
        <v>6</v>
      </c>
      <c r="Q15"/>
    </row>
    <row r="16" customHeight="1" spans="1:17">
      <c r="A16" s="2" t="s">
        <v>36</v>
      </c>
      <c r="B16" s="3">
        <v>11</v>
      </c>
      <c r="D16" s="3">
        <v>11</v>
      </c>
      <c r="E16"/>
      <c r="H16" s="2"/>
      <c r="I16" s="2" t="s">
        <v>56</v>
      </c>
      <c r="J16" s="3">
        <v>7</v>
      </c>
      <c r="K16"/>
      <c r="O16" s="2" t="s">
        <v>56</v>
      </c>
      <c r="P16" s="3">
        <v>7</v>
      </c>
      <c r="Q16"/>
    </row>
    <row r="17" customHeight="1" spans="1:17">
      <c r="A17" s="2" t="s">
        <v>81</v>
      </c>
      <c r="B17" s="3">
        <v>24</v>
      </c>
      <c r="D17" s="3">
        <v>24</v>
      </c>
      <c r="E17"/>
      <c r="H17" s="2"/>
      <c r="I17" s="2" t="s">
        <v>181</v>
      </c>
      <c r="J17" s="3">
        <v>7</v>
      </c>
      <c r="K17"/>
      <c r="O17" s="2" t="s">
        <v>181</v>
      </c>
      <c r="P17" s="3">
        <v>7</v>
      </c>
      <c r="Q17"/>
    </row>
    <row r="18" customHeight="1" spans="1:17">
      <c r="A18" s="2" t="s">
        <v>39</v>
      </c>
      <c r="B18" s="3">
        <v>485</v>
      </c>
      <c r="D18" s="3">
        <v>485</v>
      </c>
      <c r="E18"/>
      <c r="H18" s="2"/>
      <c r="I18" s="2" t="s">
        <v>49</v>
      </c>
      <c r="J18" s="3">
        <v>8</v>
      </c>
      <c r="K18"/>
      <c r="O18" s="2" t="s">
        <v>49</v>
      </c>
      <c r="P18" s="3">
        <v>8</v>
      </c>
      <c r="Q18"/>
    </row>
    <row r="19" customHeight="1" spans="1:17">
      <c r="A19" s="2" t="s">
        <v>20</v>
      </c>
      <c r="B19" s="3">
        <v>95</v>
      </c>
      <c r="D19" s="3">
        <v>95</v>
      </c>
      <c r="E19"/>
      <c r="H19" s="2"/>
      <c r="I19" s="2" t="s">
        <v>183</v>
      </c>
      <c r="J19" s="3">
        <v>8</v>
      </c>
      <c r="K19"/>
      <c r="O19" s="2" t="s">
        <v>183</v>
      </c>
      <c r="P19" s="3">
        <v>8</v>
      </c>
      <c r="Q19"/>
    </row>
    <row r="20" customHeight="1" spans="1:17">
      <c r="A20" s="2" t="s">
        <v>29</v>
      </c>
      <c r="B20" s="3">
        <v>687</v>
      </c>
      <c r="D20" s="3">
        <v>687</v>
      </c>
      <c r="E20"/>
      <c r="H20" s="2"/>
      <c r="I20" s="2" t="s">
        <v>105</v>
      </c>
      <c r="J20" s="3">
        <v>9</v>
      </c>
      <c r="K20"/>
      <c r="O20" s="2" t="s">
        <v>105</v>
      </c>
      <c r="P20" s="3">
        <v>9</v>
      </c>
      <c r="Q20"/>
    </row>
    <row r="21" customHeight="1" spans="1:17">
      <c r="A21" s="2" t="s">
        <v>49</v>
      </c>
      <c r="B21" s="3">
        <v>8</v>
      </c>
      <c r="D21" s="3">
        <v>8</v>
      </c>
      <c r="E21"/>
      <c r="H21" s="2"/>
      <c r="I21" s="2" t="s">
        <v>36</v>
      </c>
      <c r="J21" s="3">
        <v>11</v>
      </c>
      <c r="K21"/>
      <c r="O21" s="2" t="s">
        <v>36</v>
      </c>
      <c r="P21" s="3">
        <v>11</v>
      </c>
      <c r="Q21"/>
    </row>
    <row r="22" customHeight="1" spans="1:17">
      <c r="A22" s="2" t="s">
        <v>56</v>
      </c>
      <c r="B22" s="3">
        <v>7</v>
      </c>
      <c r="D22" s="3">
        <v>7</v>
      </c>
      <c r="E22"/>
      <c r="H22" s="2"/>
      <c r="I22" s="2" t="s">
        <v>66</v>
      </c>
      <c r="J22" s="3">
        <v>13</v>
      </c>
      <c r="K22"/>
      <c r="O22" s="2" t="s">
        <v>66</v>
      </c>
      <c r="P22" s="3">
        <v>13</v>
      </c>
      <c r="Q22"/>
    </row>
    <row r="23" customHeight="1" spans="1:17">
      <c r="A23" s="2" t="s">
        <v>63</v>
      </c>
      <c r="B23" s="3">
        <v>174</v>
      </c>
      <c r="D23" s="3">
        <v>174</v>
      </c>
      <c r="E23"/>
      <c r="H23" s="2"/>
      <c r="I23" s="2" t="s">
        <v>176</v>
      </c>
      <c r="J23" s="3">
        <v>17</v>
      </c>
      <c r="K23"/>
      <c r="O23" s="2" t="s">
        <v>176</v>
      </c>
      <c r="P23" s="3">
        <v>17</v>
      </c>
      <c r="Q23"/>
    </row>
    <row r="24" customHeight="1" spans="1:17">
      <c r="A24" s="2" t="s">
        <v>66</v>
      </c>
      <c r="B24" s="3">
        <v>13</v>
      </c>
      <c r="D24" s="3">
        <v>13</v>
      </c>
      <c r="E24"/>
      <c r="H24" s="2"/>
      <c r="I24" s="2" t="s">
        <v>33</v>
      </c>
      <c r="J24" s="3">
        <v>18</v>
      </c>
      <c r="K24"/>
      <c r="O24" s="2" t="s">
        <v>33</v>
      </c>
      <c r="P24" s="3">
        <v>18</v>
      </c>
      <c r="Q24"/>
    </row>
    <row r="25" customHeight="1" spans="1:17">
      <c r="A25" s="2" t="s">
        <v>154</v>
      </c>
      <c r="B25" s="3">
        <v>4</v>
      </c>
      <c r="D25" s="3">
        <v>4</v>
      </c>
      <c r="E25"/>
      <c r="H25" s="2"/>
      <c r="I25" s="2" t="s">
        <v>81</v>
      </c>
      <c r="J25" s="3">
        <v>24</v>
      </c>
      <c r="K25"/>
      <c r="O25" s="2" t="s">
        <v>81</v>
      </c>
      <c r="P25" s="3">
        <v>24</v>
      </c>
      <c r="Q25"/>
    </row>
    <row r="26" customHeight="1" spans="1:17">
      <c r="A26" s="2" t="s">
        <v>176</v>
      </c>
      <c r="B26" s="3">
        <v>17</v>
      </c>
      <c r="D26" s="3">
        <v>17</v>
      </c>
      <c r="E26"/>
      <c r="H26" s="2"/>
      <c r="I26" s="2" t="s">
        <v>219</v>
      </c>
      <c r="J26" s="3">
        <v>28</v>
      </c>
      <c r="K26"/>
      <c r="O26" s="2" t="s">
        <v>219</v>
      </c>
      <c r="P26" s="3">
        <v>28</v>
      </c>
      <c r="Q26"/>
    </row>
    <row r="27" customHeight="1" spans="1:17">
      <c r="A27" s="2" t="s">
        <v>59</v>
      </c>
      <c r="B27" s="3">
        <v>6</v>
      </c>
      <c r="D27" s="3">
        <v>6</v>
      </c>
      <c r="E27"/>
      <c r="H27" s="2"/>
      <c r="I27" s="2" t="s">
        <v>72</v>
      </c>
      <c r="J27" s="3">
        <v>30</v>
      </c>
      <c r="K27"/>
      <c r="O27" s="2" t="s">
        <v>72</v>
      </c>
      <c r="P27" s="3">
        <v>30</v>
      </c>
      <c r="Q27"/>
    </row>
    <row r="28" customHeight="1" spans="1:17">
      <c r="A28" s="2" t="s">
        <v>201</v>
      </c>
      <c r="B28" s="3">
        <v>80</v>
      </c>
      <c r="D28" s="3">
        <v>80</v>
      </c>
      <c r="E28"/>
      <c r="H28" s="2"/>
      <c r="I28" s="2" t="s">
        <v>335</v>
      </c>
      <c r="J28" s="3">
        <v>37</v>
      </c>
      <c r="K28"/>
      <c r="O28" s="2" t="s">
        <v>335</v>
      </c>
      <c r="P28" s="3">
        <v>37</v>
      </c>
      <c r="Q28"/>
    </row>
    <row r="29" customHeight="1" spans="1:17">
      <c r="A29" s="2" t="s">
        <v>97</v>
      </c>
      <c r="B29" s="3">
        <v>105</v>
      </c>
      <c r="D29" s="3">
        <v>105</v>
      </c>
      <c r="E29"/>
      <c r="H29" s="2"/>
      <c r="I29" s="2" t="s">
        <v>27</v>
      </c>
      <c r="J29" s="3">
        <v>62</v>
      </c>
      <c r="K29"/>
      <c r="O29" s="2" t="s">
        <v>27</v>
      </c>
      <c r="P29" s="3">
        <v>62</v>
      </c>
      <c r="Q29"/>
    </row>
    <row r="30" customHeight="1" spans="1:17">
      <c r="A30" s="2" t="s">
        <v>141</v>
      </c>
      <c r="B30" s="3">
        <v>108</v>
      </c>
      <c r="D30" s="3">
        <v>108</v>
      </c>
      <c r="E30"/>
      <c r="H30" s="2"/>
      <c r="I30" s="2" t="s">
        <v>201</v>
      </c>
      <c r="J30" s="3">
        <v>80</v>
      </c>
      <c r="K30"/>
      <c r="O30" s="2" t="s">
        <v>201</v>
      </c>
      <c r="P30" s="3">
        <v>80</v>
      </c>
      <c r="Q30"/>
    </row>
    <row r="31" customHeight="1" spans="1:17">
      <c r="A31" s="2" t="s">
        <v>181</v>
      </c>
      <c r="B31" s="3">
        <v>7</v>
      </c>
      <c r="D31" s="3">
        <v>7</v>
      </c>
      <c r="E31"/>
      <c r="H31" s="2"/>
      <c r="I31" s="2" t="s">
        <v>20</v>
      </c>
      <c r="J31" s="3">
        <v>95</v>
      </c>
      <c r="K31"/>
      <c r="O31" s="2" t="s">
        <v>20</v>
      </c>
      <c r="P31" s="3">
        <v>95</v>
      </c>
      <c r="Q31"/>
    </row>
    <row r="32" customHeight="1" spans="1:17">
      <c r="A32" s="2" t="s">
        <v>183</v>
      </c>
      <c r="B32" s="3">
        <v>8</v>
      </c>
      <c r="D32" s="3">
        <v>8</v>
      </c>
      <c r="E32"/>
      <c r="H32" s="2"/>
      <c r="I32" s="2" t="s">
        <v>97</v>
      </c>
      <c r="J32" s="3">
        <v>105</v>
      </c>
      <c r="K32"/>
      <c r="O32" s="2" t="s">
        <v>97</v>
      </c>
      <c r="P32" s="3">
        <v>105</v>
      </c>
      <c r="Q32"/>
    </row>
    <row r="33" customHeight="1" spans="1:17">
      <c r="A33" s="2" t="s">
        <v>277</v>
      </c>
      <c r="B33" s="3">
        <v>1</v>
      </c>
      <c r="D33" s="3">
        <v>1</v>
      </c>
      <c r="E33"/>
      <c r="H33" s="2"/>
      <c r="I33" s="2" t="s">
        <v>141</v>
      </c>
      <c r="J33" s="3">
        <v>108</v>
      </c>
      <c r="K33"/>
      <c r="O33" s="2" t="s">
        <v>141</v>
      </c>
      <c r="P33" s="3">
        <v>108</v>
      </c>
      <c r="Q33"/>
    </row>
    <row r="34" customHeight="1" spans="1:17">
      <c r="A34" s="2" t="s">
        <v>279</v>
      </c>
      <c r="B34" s="3">
        <v>2</v>
      </c>
      <c r="D34" s="3">
        <v>2</v>
      </c>
      <c r="E34"/>
      <c r="H34" s="2"/>
      <c r="I34" s="2" t="s">
        <v>63</v>
      </c>
      <c r="J34" s="3">
        <v>174</v>
      </c>
      <c r="K34"/>
      <c r="O34" s="2" t="s">
        <v>63</v>
      </c>
      <c r="P34" s="3">
        <v>174</v>
      </c>
      <c r="Q34"/>
    </row>
    <row r="35" customHeight="1" spans="1:17">
      <c r="A35" s="2" t="s">
        <v>281</v>
      </c>
      <c r="B35" s="3">
        <v>2</v>
      </c>
      <c r="D35" s="3">
        <v>2</v>
      </c>
      <c r="E35"/>
      <c r="H35" s="2"/>
      <c r="I35" s="2" t="s">
        <v>39</v>
      </c>
      <c r="J35" s="3">
        <v>485</v>
      </c>
      <c r="K35"/>
      <c r="O35" s="2" t="s">
        <v>39</v>
      </c>
      <c r="P35" s="3">
        <v>485</v>
      </c>
      <c r="Q35"/>
    </row>
    <row r="36" customHeight="1" spans="1:17">
      <c r="A36" s="2" t="s">
        <v>335</v>
      </c>
      <c r="B36" s="3">
        <v>37</v>
      </c>
      <c r="D36" s="3">
        <v>37</v>
      </c>
      <c r="E36"/>
      <c r="H36" s="2"/>
      <c r="I36" s="2" t="s">
        <v>29</v>
      </c>
      <c r="J36" s="3">
        <v>687</v>
      </c>
      <c r="K36"/>
      <c r="O36" s="2" t="s">
        <v>29</v>
      </c>
      <c r="P36" s="3">
        <v>687</v>
      </c>
      <c r="Q36"/>
    </row>
    <row r="37" customHeight="1" spans="1:17">
      <c r="A37" s="2" t="s">
        <v>283</v>
      </c>
      <c r="B37" s="3">
        <v>3</v>
      </c>
      <c r="D37" s="3">
        <v>3</v>
      </c>
      <c r="E37"/>
      <c r="H37" s="2" t="s">
        <v>333</v>
      </c>
      <c r="I37" s="2"/>
      <c r="K37"/>
      <c r="N37" s="2" t="s">
        <v>333</v>
      </c>
      <c r="P37" s="3"/>
      <c r="Q37"/>
    </row>
    <row r="38" customHeight="1" spans="1:17">
      <c r="A38" s="2" t="s">
        <v>334</v>
      </c>
      <c r="B38" s="3">
        <v>2038</v>
      </c>
      <c r="D38" s="3">
        <v>2038</v>
      </c>
      <c r="E38"/>
      <c r="H38" s="2"/>
      <c r="I38" s="2" t="s">
        <v>333</v>
      </c>
      <c r="K38"/>
      <c r="O38" s="2" t="s">
        <v>333</v>
      </c>
      <c r="P38" s="3"/>
      <c r="Q38"/>
    </row>
    <row r="39" customHeight="1" spans="1:17">
      <c r="A39"/>
      <c r="B39"/>
      <c r="C39"/>
      <c r="D39"/>
      <c r="E39"/>
      <c r="H39" s="2" t="s">
        <v>334</v>
      </c>
      <c r="I39" s="2"/>
      <c r="J39" s="3">
        <v>2038</v>
      </c>
      <c r="K39"/>
      <c r="N39" s="2" t="s">
        <v>334</v>
      </c>
      <c r="P39" s="3">
        <v>2038</v>
      </c>
      <c r="Q39"/>
    </row>
    <row r="40" customHeight="1" spans="1:17">
      <c r="A40"/>
      <c r="B40"/>
      <c r="C40"/>
      <c r="D40"/>
      <c r="E40"/>
      <c r="H40"/>
      <c r="I40"/>
      <c r="J40"/>
      <c r="K40"/>
      <c r="N40"/>
      <c r="O40"/>
      <c r="P40"/>
      <c r="Q40"/>
    </row>
    <row r="41" customHeight="1" spans="1:17">
      <c r="A41"/>
      <c r="B41"/>
      <c r="C41"/>
      <c r="D41"/>
      <c r="E41"/>
      <c r="H41"/>
      <c r="I41"/>
      <c r="J41"/>
      <c r="K41"/>
      <c r="N41"/>
      <c r="O41"/>
      <c r="P41"/>
      <c r="Q41"/>
    </row>
    <row r="42" customHeight="1" spans="1:17">
      <c r="A42"/>
      <c r="B42"/>
      <c r="C42"/>
      <c r="D42"/>
      <c r="E42"/>
      <c r="H42"/>
      <c r="I42"/>
      <c r="J42"/>
      <c r="K42"/>
      <c r="N42"/>
      <c r="O42"/>
      <c r="P42"/>
      <c r="Q42"/>
    </row>
    <row r="43" customHeight="1" spans="1:17">
      <c r="A43"/>
      <c r="B43"/>
      <c r="C43"/>
      <c r="D43"/>
      <c r="E43"/>
      <c r="H43"/>
      <c r="I43"/>
      <c r="J43"/>
      <c r="K43"/>
      <c r="N43"/>
      <c r="O43"/>
      <c r="P43"/>
      <c r="Q43"/>
    </row>
    <row r="44" customHeight="1" spans="1:17">
      <c r="A44"/>
      <c r="B44"/>
      <c r="C44"/>
      <c r="D44"/>
      <c r="E44"/>
      <c r="H44"/>
      <c r="I44"/>
      <c r="J44"/>
      <c r="K44"/>
      <c r="N44"/>
      <c r="O44"/>
      <c r="P44"/>
      <c r="Q44"/>
    </row>
    <row r="45" customHeight="1" spans="1:17">
      <c r="A45"/>
      <c r="B45"/>
      <c r="C45"/>
      <c r="D45"/>
      <c r="E45"/>
      <c r="H45"/>
      <c r="I45"/>
      <c r="J45"/>
      <c r="K45"/>
      <c r="N45"/>
      <c r="O45"/>
      <c r="P45"/>
      <c r="Q45"/>
    </row>
    <row r="46" customHeight="1" spans="1:17">
      <c r="A46"/>
      <c r="B46"/>
      <c r="C46"/>
      <c r="D46"/>
      <c r="E46"/>
      <c r="H46"/>
      <c r="I46"/>
      <c r="J46"/>
      <c r="K46"/>
      <c r="N46"/>
      <c r="O46"/>
      <c r="P46"/>
      <c r="Q46"/>
    </row>
    <row r="47" customHeight="1" spans="1:17">
      <c r="A47"/>
      <c r="B47"/>
      <c r="C47"/>
      <c r="D47"/>
      <c r="E47"/>
      <c r="H47"/>
      <c r="I47"/>
      <c r="J47"/>
      <c r="K47"/>
      <c r="N47"/>
      <c r="O47"/>
      <c r="P47"/>
      <c r="Q47"/>
    </row>
    <row r="48" customHeight="1" spans="1:17">
      <c r="A48"/>
      <c r="B48"/>
      <c r="C48"/>
      <c r="D48"/>
      <c r="E48"/>
      <c r="H48"/>
      <c r="I48"/>
      <c r="J48"/>
      <c r="K48"/>
      <c r="N48"/>
      <c r="O48"/>
      <c r="P48"/>
      <c r="Q48"/>
    </row>
    <row r="49" customHeight="1" spans="1:17">
      <c r="A49"/>
      <c r="B49"/>
      <c r="C49"/>
      <c r="D49"/>
      <c r="E49"/>
      <c r="H49"/>
      <c r="I49"/>
      <c r="J49"/>
      <c r="K49"/>
      <c r="N49"/>
      <c r="O49"/>
      <c r="P49"/>
      <c r="Q49"/>
    </row>
    <row r="50" customHeight="1" spans="1:17">
      <c r="A50"/>
      <c r="B50"/>
      <c r="C50"/>
      <c r="D50"/>
      <c r="E50"/>
      <c r="H50"/>
      <c r="I50"/>
      <c r="J50"/>
      <c r="K50"/>
      <c r="N50"/>
      <c r="O50"/>
      <c r="P50"/>
      <c r="Q50"/>
    </row>
    <row r="51" customHeight="1" spans="1:17">
      <c r="A51"/>
      <c r="B51"/>
      <c r="C51"/>
      <c r="D51"/>
      <c r="E51"/>
      <c r="H51"/>
      <c r="I51"/>
      <c r="J51"/>
      <c r="K51"/>
      <c r="N51"/>
      <c r="O51"/>
      <c r="P51"/>
      <c r="Q51"/>
    </row>
    <row r="52" customHeight="1" spans="1:17">
      <c r="A52"/>
      <c r="B52"/>
      <c r="C52"/>
      <c r="D52"/>
      <c r="E52"/>
      <c r="H52"/>
      <c r="I52"/>
      <c r="J52"/>
      <c r="K52"/>
      <c r="N52"/>
      <c r="O52"/>
      <c r="P52"/>
      <c r="Q52"/>
    </row>
    <row r="53" customHeight="1" spans="1:17">
      <c r="A53"/>
      <c r="B53"/>
      <c r="C53"/>
      <c r="D53"/>
      <c r="E53"/>
      <c r="H53"/>
      <c r="I53"/>
      <c r="J53"/>
      <c r="K53"/>
      <c r="N53"/>
      <c r="O53"/>
      <c r="P53"/>
      <c r="Q53"/>
    </row>
    <row r="54" customHeight="1" spans="1:17">
      <c r="A54"/>
      <c r="B54"/>
      <c r="C54"/>
      <c r="D54"/>
      <c r="E54"/>
      <c r="H54"/>
      <c r="I54"/>
      <c r="J54"/>
      <c r="K54"/>
      <c r="N54"/>
      <c r="O54"/>
      <c r="P54"/>
      <c r="Q54"/>
    </row>
    <row r="55" customHeight="1" spans="1:17">
      <c r="A55"/>
      <c r="B55"/>
      <c r="C55"/>
      <c r="D55"/>
      <c r="E55"/>
      <c r="H55"/>
      <c r="I55"/>
      <c r="J55"/>
      <c r="K55"/>
      <c r="N55"/>
      <c r="O55"/>
      <c r="P55"/>
      <c r="Q55"/>
    </row>
    <row r="56" customHeight="1" spans="1:17">
      <c r="A56"/>
      <c r="B56"/>
      <c r="C56"/>
      <c r="D56"/>
      <c r="E56"/>
      <c r="H56"/>
      <c r="I56"/>
      <c r="J56"/>
      <c r="K56"/>
      <c r="N56"/>
      <c r="O56"/>
      <c r="P56"/>
      <c r="Q56"/>
    </row>
    <row r="57" customHeight="1" spans="1:17">
      <c r="A57"/>
      <c r="B57"/>
      <c r="C57"/>
      <c r="D57"/>
      <c r="E57"/>
      <c r="H57"/>
      <c r="I57"/>
      <c r="J57"/>
      <c r="K57"/>
      <c r="N57"/>
      <c r="O57"/>
      <c r="P57"/>
      <c r="Q57"/>
    </row>
    <row r="58" customHeight="1" spans="1:17">
      <c r="A58"/>
      <c r="B58"/>
      <c r="C58"/>
      <c r="D58"/>
      <c r="E58"/>
      <c r="H58"/>
      <c r="I58"/>
      <c r="J58"/>
      <c r="K58"/>
      <c r="N58"/>
      <c r="O58"/>
      <c r="P58"/>
      <c r="Q58"/>
    </row>
    <row r="59" customHeight="1" spans="1:17">
      <c r="A59"/>
      <c r="B59"/>
      <c r="C59"/>
      <c r="D59"/>
      <c r="E59"/>
      <c r="H59"/>
      <c r="I59"/>
      <c r="J59"/>
      <c r="K59"/>
      <c r="N59"/>
      <c r="O59"/>
      <c r="P59"/>
      <c r="Q59"/>
    </row>
    <row r="60" customHeight="1" spans="1:17">
      <c r="A60"/>
      <c r="B60"/>
      <c r="C60"/>
      <c r="D60"/>
      <c r="E60"/>
      <c r="H60"/>
      <c r="I60"/>
      <c r="J60"/>
      <c r="K60"/>
      <c r="N60"/>
      <c r="O60"/>
      <c r="P60"/>
      <c r="Q60"/>
    </row>
    <row r="61" customHeight="1" spans="1:17">
      <c r="A61"/>
      <c r="B61"/>
      <c r="C61"/>
      <c r="D61"/>
      <c r="E61"/>
      <c r="H61"/>
      <c r="I61"/>
      <c r="J61"/>
      <c r="K61"/>
      <c r="N61"/>
      <c r="O61"/>
      <c r="P61"/>
      <c r="Q61"/>
    </row>
    <row r="62" customHeight="1" spans="1:17">
      <c r="A62"/>
      <c r="B62"/>
      <c r="C62"/>
      <c r="D62"/>
      <c r="E62"/>
      <c r="H62"/>
      <c r="I62"/>
      <c r="J62"/>
      <c r="K62"/>
      <c r="N62"/>
      <c r="O62"/>
      <c r="P62"/>
      <c r="Q62"/>
    </row>
    <row r="63" customHeight="1" spans="1:17">
      <c r="A63"/>
      <c r="B63"/>
      <c r="C63"/>
      <c r="D63"/>
      <c r="E63"/>
      <c r="H63"/>
      <c r="I63"/>
      <c r="J63"/>
      <c r="K63"/>
      <c r="N63"/>
      <c r="O63"/>
      <c r="P63"/>
      <c r="Q63"/>
    </row>
    <row r="64" customHeight="1" spans="1:17">
      <c r="A64"/>
      <c r="B64"/>
      <c r="C64"/>
      <c r="D64"/>
      <c r="E64"/>
      <c r="H64"/>
      <c r="I64"/>
      <c r="J64"/>
      <c r="K64"/>
      <c r="N64"/>
      <c r="O64"/>
      <c r="P64"/>
      <c r="Q64"/>
    </row>
    <row r="65" customHeight="1" spans="1:17">
      <c r="A65"/>
      <c r="B65"/>
      <c r="C65"/>
      <c r="D65"/>
      <c r="E65"/>
      <c r="H65"/>
      <c r="I65"/>
      <c r="J65"/>
      <c r="K65"/>
      <c r="N65"/>
      <c r="O65"/>
      <c r="P65"/>
      <c r="Q65"/>
    </row>
    <row r="66" customHeight="1" spans="1:17">
      <c r="A66"/>
      <c r="B66"/>
      <c r="C66"/>
      <c r="D66"/>
      <c r="E66"/>
      <c r="H66"/>
      <c r="I66"/>
      <c r="J66"/>
      <c r="K66"/>
      <c r="N66"/>
      <c r="O66"/>
      <c r="P66"/>
      <c r="Q66"/>
    </row>
    <row r="67" customHeight="1" spans="1:17">
      <c r="A67"/>
      <c r="B67"/>
      <c r="C67"/>
      <c r="D67"/>
      <c r="E67"/>
      <c r="H67"/>
      <c r="I67"/>
      <c r="J67"/>
      <c r="K67"/>
      <c r="N67"/>
      <c r="O67"/>
      <c r="P67"/>
      <c r="Q67"/>
    </row>
    <row r="68" customHeight="1" spans="1:17">
      <c r="A68"/>
      <c r="B68"/>
      <c r="C68"/>
      <c r="D68"/>
      <c r="E68"/>
      <c r="H68"/>
      <c r="I68"/>
      <c r="J68"/>
      <c r="K68"/>
      <c r="N68"/>
      <c r="O68"/>
      <c r="P68"/>
      <c r="Q68"/>
    </row>
    <row r="69" customHeight="1" spans="1:17">
      <c r="A69"/>
      <c r="B69"/>
      <c r="C69"/>
      <c r="D69"/>
      <c r="E69"/>
      <c r="H69"/>
      <c r="I69"/>
      <c r="J69"/>
      <c r="K69"/>
      <c r="N69"/>
      <c r="O69"/>
      <c r="P69"/>
      <c r="Q69"/>
    </row>
    <row r="70" customHeight="1" spans="1:17">
      <c r="A70"/>
      <c r="B70"/>
      <c r="C70"/>
      <c r="D70"/>
      <c r="E70"/>
      <c r="H70"/>
      <c r="I70"/>
      <c r="J70"/>
      <c r="K70"/>
      <c r="N70"/>
      <c r="O70"/>
      <c r="P70"/>
      <c r="Q70"/>
    </row>
    <row r="71" customHeight="1" spans="1:17">
      <c r="A71"/>
      <c r="B71"/>
      <c r="C71"/>
      <c r="D71"/>
      <c r="E71"/>
      <c r="H71"/>
      <c r="I71"/>
      <c r="J71"/>
      <c r="K71"/>
      <c r="N71"/>
      <c r="O71"/>
      <c r="P71"/>
      <c r="Q71"/>
    </row>
    <row r="72" customHeight="1" spans="1:17">
      <c r="A72"/>
      <c r="B72"/>
      <c r="C72"/>
      <c r="D72"/>
      <c r="E72"/>
      <c r="H72"/>
      <c r="I72"/>
      <c r="J72"/>
      <c r="K72"/>
      <c r="N72"/>
      <c r="O72"/>
      <c r="P72"/>
      <c r="Q72"/>
    </row>
    <row r="73" customHeight="1" spans="1:17">
      <c r="A73"/>
      <c r="B73"/>
      <c r="C73"/>
      <c r="D73"/>
      <c r="E73"/>
      <c r="H73"/>
      <c r="I73"/>
      <c r="J73"/>
      <c r="K73"/>
      <c r="N73"/>
      <c r="O73"/>
      <c r="P73"/>
      <c r="Q73"/>
    </row>
    <row r="74" customHeight="1" spans="1:17">
      <c r="A74"/>
      <c r="B74"/>
      <c r="C74"/>
      <c r="D74"/>
      <c r="E74"/>
      <c r="H74"/>
      <c r="I74"/>
      <c r="J74"/>
      <c r="K74"/>
      <c r="N74"/>
      <c r="O74"/>
      <c r="P74"/>
      <c r="Q74"/>
    </row>
    <row r="75" customHeight="1" spans="1:17">
      <c r="A75"/>
      <c r="B75"/>
      <c r="C75"/>
      <c r="D75"/>
      <c r="E75"/>
      <c r="H75"/>
      <c r="I75"/>
      <c r="J75"/>
      <c r="K75"/>
      <c r="N75"/>
      <c r="O75"/>
      <c r="P75"/>
      <c r="Q75"/>
    </row>
    <row r="76" customHeight="1" spans="1:17">
      <c r="A76"/>
      <c r="B76"/>
      <c r="C76"/>
      <c r="D76"/>
      <c r="E76"/>
      <c r="H76"/>
      <c r="I76"/>
      <c r="J76"/>
      <c r="K76"/>
      <c r="N76"/>
      <c r="O76"/>
      <c r="P76"/>
      <c r="Q76"/>
    </row>
    <row r="77" customHeight="1" spans="1:17">
      <c r="A77"/>
      <c r="B77"/>
      <c r="C77"/>
      <c r="D77"/>
      <c r="E77"/>
      <c r="H77"/>
      <c r="I77"/>
      <c r="J77"/>
      <c r="K77"/>
      <c r="N77"/>
      <c r="O77"/>
      <c r="P77"/>
      <c r="Q77"/>
    </row>
    <row r="78" customHeight="1" spans="1:17">
      <c r="A78"/>
      <c r="B78"/>
      <c r="C78"/>
      <c r="D78"/>
      <c r="E78"/>
      <c r="H78"/>
      <c r="I78"/>
      <c r="J78"/>
      <c r="K78"/>
      <c r="N78"/>
      <c r="O78"/>
      <c r="P78"/>
      <c r="Q78"/>
    </row>
    <row r="79" customHeight="1" spans="1:17">
      <c r="A79"/>
      <c r="B79"/>
      <c r="C79"/>
      <c r="D79"/>
      <c r="E79"/>
      <c r="H79"/>
      <c r="I79"/>
      <c r="J79"/>
      <c r="K79"/>
      <c r="N79"/>
      <c r="O79"/>
      <c r="P79"/>
      <c r="Q79"/>
    </row>
    <row r="80" customHeight="1" spans="1:17">
      <c r="A80"/>
      <c r="B80"/>
      <c r="C80"/>
      <c r="D80"/>
      <c r="E80"/>
      <c r="H80"/>
      <c r="I80"/>
      <c r="J80"/>
      <c r="K80"/>
      <c r="N80"/>
      <c r="O80"/>
      <c r="P80"/>
      <c r="Q80"/>
    </row>
    <row r="81" customHeight="1" spans="1:17">
      <c r="A81"/>
      <c r="B81"/>
      <c r="C81"/>
      <c r="D81"/>
      <c r="E81"/>
      <c r="H81"/>
      <c r="I81"/>
      <c r="J81"/>
      <c r="K81"/>
      <c r="N81"/>
      <c r="O81"/>
      <c r="P81"/>
      <c r="Q81"/>
    </row>
    <row r="82" customHeight="1" spans="1:17">
      <c r="A82"/>
      <c r="B82"/>
      <c r="C82"/>
      <c r="D82"/>
      <c r="E82"/>
      <c r="H82"/>
      <c r="I82"/>
      <c r="J82"/>
      <c r="K82"/>
      <c r="N82"/>
      <c r="O82"/>
      <c r="P82"/>
      <c r="Q82"/>
    </row>
    <row r="83" customHeight="1" spans="1:17">
      <c r="H83"/>
      <c r="I83"/>
      <c r="J83"/>
      <c r="K83"/>
      <c r="N83"/>
      <c r="O83"/>
      <c r="P83"/>
      <c r="Q83"/>
    </row>
    <row r="84" customHeight="1" spans="1:17">
      <c r="H84"/>
      <c r="I84"/>
      <c r="J84"/>
      <c r="K84"/>
      <c r="N84"/>
      <c r="O84"/>
      <c r="P84"/>
      <c r="Q84"/>
    </row>
    <row r="85" customHeight="1" spans="1:17">
      <c r="H85"/>
      <c r="I85"/>
      <c r="J85"/>
      <c r="K85"/>
      <c r="N85"/>
      <c r="O85"/>
      <c r="P85"/>
      <c r="Q85"/>
    </row>
    <row r="86" customHeight="1" spans="1:17">
      <c r="H86"/>
      <c r="I86"/>
      <c r="J86"/>
      <c r="K86"/>
      <c r="N86"/>
      <c r="O86"/>
      <c r="P86"/>
      <c r="Q86"/>
    </row>
    <row r="87" customHeight="1" spans="1:17">
      <c r="H87"/>
      <c r="I87"/>
      <c r="J87"/>
      <c r="K87"/>
      <c r="N87"/>
      <c r="O87"/>
      <c r="P87"/>
      <c r="Q87"/>
    </row>
    <row r="88" customHeight="1" spans="1:17">
      <c r="H88"/>
      <c r="I88"/>
      <c r="J88"/>
      <c r="K88"/>
      <c r="N88"/>
      <c r="O88"/>
      <c r="P88"/>
      <c r="Q88"/>
    </row>
    <row r="89" customHeight="1" spans="1:17">
      <c r="H89"/>
      <c r="I89"/>
      <c r="J89"/>
      <c r="K89"/>
      <c r="N89"/>
      <c r="O89"/>
      <c r="P89"/>
      <c r="Q89"/>
    </row>
    <row r="90" customHeight="1" spans="1:17">
      <c r="H90"/>
      <c r="I90"/>
      <c r="J90"/>
      <c r="K90"/>
      <c r="N90"/>
      <c r="O90"/>
      <c r="P90"/>
      <c r="Q90"/>
    </row>
    <row r="91" customHeight="1" spans="1:17">
      <c r="H91"/>
      <c r="I91"/>
      <c r="J91"/>
      <c r="K91"/>
      <c r="N91"/>
      <c r="O91"/>
      <c r="P91"/>
      <c r="Q91"/>
    </row>
    <row r="92" customHeight="1" spans="1:17">
      <c r="H92"/>
      <c r="I92"/>
      <c r="J92"/>
      <c r="K92"/>
      <c r="N92"/>
      <c r="O92"/>
      <c r="P92"/>
      <c r="Q92"/>
    </row>
    <row r="93" customHeight="1" spans="1:17">
      <c r="H93"/>
      <c r="I93"/>
      <c r="J93"/>
      <c r="K93"/>
      <c r="N93"/>
      <c r="O93"/>
      <c r="P93"/>
      <c r="Q93"/>
    </row>
    <row r="94" customHeight="1" spans="1:17">
      <c r="H94"/>
      <c r="I94"/>
      <c r="J94"/>
      <c r="K94"/>
      <c r="N94"/>
      <c r="O94"/>
      <c r="P94"/>
      <c r="Q94"/>
    </row>
    <row r="95" customHeight="1" spans="1:17">
      <c r="H95"/>
      <c r="I95"/>
      <c r="J95"/>
      <c r="K95"/>
      <c r="N95"/>
      <c r="O95"/>
      <c r="P95"/>
      <c r="Q95"/>
    </row>
    <row r="96" customHeight="1" spans="1:17">
      <c r="H96"/>
      <c r="I96"/>
      <c r="J96"/>
      <c r="K96"/>
      <c r="N96"/>
      <c r="O96"/>
      <c r="P96"/>
      <c r="Q96"/>
    </row>
    <row r="97" customHeight="1" spans="8:17">
      <c r="H97"/>
      <c r="I97"/>
      <c r="J97"/>
      <c r="K97"/>
      <c r="N97"/>
      <c r="O97"/>
      <c r="P97"/>
      <c r="Q97"/>
    </row>
    <row r="98" customHeight="1" spans="8:17">
      <c r="H98"/>
      <c r="I98"/>
      <c r="J98"/>
      <c r="K98"/>
      <c r="N98"/>
      <c r="O98"/>
      <c r="P98"/>
      <c r="Q98"/>
    </row>
    <row r="99" customHeight="1" spans="8:17">
      <c r="H99"/>
      <c r="I99"/>
      <c r="J99"/>
      <c r="K99"/>
      <c r="N99"/>
      <c r="O99"/>
      <c r="P99"/>
      <c r="Q99"/>
    </row>
    <row r="100" customHeight="1" spans="8:17">
      <c r="H100"/>
      <c r="I100"/>
      <c r="J100"/>
      <c r="K100"/>
      <c r="N100"/>
      <c r="O100"/>
      <c r="P100"/>
      <c r="Q100"/>
    </row>
    <row r="101" customHeight="1" spans="8:17">
      <c r="H101"/>
      <c r="I101"/>
      <c r="J101"/>
      <c r="K101"/>
      <c r="N101"/>
      <c r="O101"/>
      <c r="P101"/>
      <c r="Q101"/>
    </row>
    <row r="102" customHeight="1" spans="8:17">
      <c r="H102"/>
      <c r="I102"/>
      <c r="J102"/>
      <c r="K102"/>
      <c r="N102"/>
      <c r="O102"/>
      <c r="P102"/>
      <c r="Q102"/>
    </row>
    <row r="103" customHeight="1" spans="8:17">
      <c r="H103"/>
      <c r="I103"/>
      <c r="J103"/>
      <c r="K103"/>
      <c r="N103"/>
      <c r="O103"/>
      <c r="P103"/>
      <c r="Q103"/>
    </row>
    <row r="104" customHeight="1" spans="8:17">
      <c r="H104"/>
      <c r="I104"/>
      <c r="J104"/>
      <c r="K104"/>
      <c r="N104"/>
      <c r="O104"/>
      <c r="P104"/>
      <c r="Q104"/>
    </row>
    <row r="105" customHeight="1" spans="8:17">
      <c r="H105"/>
      <c r="I105"/>
      <c r="J105"/>
      <c r="K105"/>
      <c r="N105"/>
      <c r="O105"/>
      <c r="P105"/>
      <c r="Q105"/>
    </row>
    <row r="106" customHeight="1" spans="8:17">
      <c r="H106"/>
      <c r="I106"/>
      <c r="J106"/>
      <c r="K106"/>
      <c r="N106"/>
      <c r="O106"/>
      <c r="P106"/>
      <c r="Q106"/>
    </row>
    <row r="107" customHeight="1" spans="8:17">
      <c r="H107"/>
      <c r="I107"/>
      <c r="J107"/>
      <c r="K107"/>
      <c r="N107"/>
      <c r="O107"/>
      <c r="P107"/>
      <c r="Q107"/>
    </row>
    <row r="108" customHeight="1" spans="8:17">
      <c r="H108"/>
      <c r="I108"/>
      <c r="J108"/>
      <c r="K108"/>
      <c r="N108"/>
      <c r="O108"/>
      <c r="P108"/>
      <c r="Q108"/>
    </row>
    <row r="109" customHeight="1" spans="8:17">
      <c r="H109"/>
      <c r="I109"/>
      <c r="J109"/>
      <c r="K109"/>
      <c r="N109"/>
      <c r="O109"/>
      <c r="P109"/>
      <c r="Q109"/>
    </row>
    <row r="110" customHeight="1" spans="8:17">
      <c r="H110"/>
      <c r="I110"/>
      <c r="J110"/>
      <c r="K110"/>
      <c r="N110"/>
      <c r="O110"/>
      <c r="P110"/>
      <c r="Q110"/>
    </row>
    <row r="111" customHeight="1" spans="8:17">
      <c r="H111"/>
      <c r="I111"/>
      <c r="J111"/>
      <c r="K111"/>
      <c r="N111"/>
      <c r="O111"/>
      <c r="P111"/>
      <c r="Q111"/>
    </row>
    <row r="112" customHeight="1" spans="8:17">
      <c r="H112"/>
      <c r="I112"/>
      <c r="J112"/>
      <c r="K112"/>
      <c r="N112"/>
      <c r="O112"/>
      <c r="P112"/>
      <c r="Q112"/>
    </row>
    <row r="113" customHeight="1" spans="8:17">
      <c r="H113"/>
      <c r="I113"/>
      <c r="J113"/>
      <c r="K113"/>
      <c r="N113"/>
      <c r="O113"/>
      <c r="P113"/>
      <c r="Q113"/>
    </row>
    <row r="114" customHeight="1" spans="8:17">
      <c r="H114"/>
      <c r="I114"/>
      <c r="J114"/>
      <c r="K114"/>
      <c r="N114"/>
      <c r="O114"/>
      <c r="P114"/>
      <c r="Q114"/>
    </row>
    <row r="115" customHeight="1" spans="8:17">
      <c r="H115"/>
      <c r="I115"/>
      <c r="J115"/>
      <c r="K115"/>
      <c r="N115"/>
      <c r="O115"/>
      <c r="P115"/>
      <c r="Q115"/>
    </row>
    <row r="116" customHeight="1" spans="8:17">
      <c r="H116"/>
      <c r="I116"/>
      <c r="J116"/>
      <c r="K116"/>
      <c r="N116"/>
      <c r="O116"/>
      <c r="P116"/>
      <c r="Q116"/>
    </row>
    <row r="117" customHeight="1" spans="8:17">
      <c r="H117"/>
      <c r="I117"/>
      <c r="J117"/>
      <c r="K117"/>
      <c r="N117"/>
      <c r="O117"/>
      <c r="P117"/>
      <c r="Q117"/>
    </row>
    <row r="118" customHeight="1" spans="8:17">
      <c r="H118"/>
      <c r="I118"/>
      <c r="J118"/>
      <c r="K118"/>
      <c r="N118"/>
      <c r="O118"/>
      <c r="P118"/>
      <c r="Q118"/>
    </row>
    <row r="119" customHeight="1" spans="8:17">
      <c r="H119"/>
      <c r="I119"/>
      <c r="J119"/>
      <c r="K119"/>
      <c r="N119"/>
      <c r="O119"/>
      <c r="P119"/>
      <c r="Q119"/>
    </row>
    <row r="120" customHeight="1" spans="8:17">
      <c r="H120"/>
      <c r="I120"/>
      <c r="J120"/>
      <c r="K120"/>
      <c r="N120"/>
      <c r="O120"/>
      <c r="P120"/>
      <c r="Q120"/>
    </row>
    <row r="121" customHeight="1" spans="8:17">
      <c r="H121"/>
      <c r="I121"/>
      <c r="J121"/>
      <c r="K121"/>
      <c r="N121"/>
      <c r="O121"/>
      <c r="P121"/>
      <c r="Q121"/>
    </row>
    <row r="122" customHeight="1" spans="8:17">
      <c r="H122"/>
      <c r="I122"/>
      <c r="J122"/>
      <c r="K122"/>
      <c r="N122"/>
      <c r="O122"/>
      <c r="P122"/>
      <c r="Q122"/>
    </row>
    <row r="123" customHeight="1" spans="8:17">
      <c r="H123"/>
      <c r="I123"/>
      <c r="J123"/>
      <c r="K123"/>
      <c r="N123"/>
      <c r="O123"/>
      <c r="P123"/>
      <c r="Q123"/>
    </row>
    <row r="124" customHeight="1" spans="8:17">
      <c r="H124"/>
      <c r="I124"/>
      <c r="J124"/>
      <c r="K124"/>
      <c r="N124"/>
      <c r="O124"/>
      <c r="P124"/>
      <c r="Q124"/>
    </row>
    <row r="125" customHeight="1" spans="8:17">
      <c r="H125"/>
      <c r="I125"/>
      <c r="J125"/>
      <c r="K125"/>
      <c r="N125"/>
      <c r="O125"/>
      <c r="P125"/>
      <c r="Q125"/>
    </row>
    <row r="126" customHeight="1" spans="8:17">
      <c r="H126"/>
      <c r="I126"/>
      <c r="J126"/>
      <c r="K126"/>
      <c r="N126"/>
      <c r="O126"/>
      <c r="P126"/>
      <c r="Q126"/>
    </row>
    <row r="127" customHeight="1" spans="8:17">
      <c r="H127"/>
      <c r="I127"/>
      <c r="J127"/>
      <c r="K127"/>
      <c r="N127"/>
      <c r="O127"/>
      <c r="P127"/>
      <c r="Q127"/>
    </row>
    <row r="128" customHeight="1" spans="8:17">
      <c r="H128"/>
      <c r="I128"/>
      <c r="J128"/>
      <c r="K128"/>
      <c r="N128"/>
      <c r="O128"/>
      <c r="P128"/>
      <c r="Q128"/>
    </row>
    <row r="129" customHeight="1" spans="8:17">
      <c r="H129"/>
      <c r="I129"/>
      <c r="J129"/>
      <c r="K129"/>
      <c r="N129"/>
      <c r="O129"/>
      <c r="P129"/>
      <c r="Q129"/>
    </row>
    <row r="130" customHeight="1" spans="8:17">
      <c r="H130"/>
      <c r="I130"/>
      <c r="J130"/>
      <c r="K130"/>
      <c r="N130"/>
      <c r="O130"/>
      <c r="P130"/>
      <c r="Q130"/>
    </row>
    <row r="131" customHeight="1" spans="8:17">
      <c r="H131"/>
      <c r="I131"/>
      <c r="J131"/>
      <c r="K131"/>
      <c r="N131"/>
      <c r="O131"/>
      <c r="P131"/>
      <c r="Q131"/>
    </row>
    <row r="132" customHeight="1" spans="8:17">
      <c r="H132"/>
      <c r="I132"/>
      <c r="J132"/>
      <c r="K132"/>
      <c r="N132"/>
      <c r="O132"/>
      <c r="P132"/>
      <c r="Q132"/>
    </row>
    <row r="133" customHeight="1" spans="8:17">
      <c r="H133"/>
      <c r="I133"/>
      <c r="J133"/>
      <c r="K133"/>
      <c r="N133"/>
      <c r="O133"/>
      <c r="P133"/>
      <c r="Q133"/>
    </row>
    <row r="134" customHeight="1" spans="8:17">
      <c r="H134"/>
      <c r="I134"/>
      <c r="J134"/>
      <c r="K134"/>
      <c r="N134"/>
      <c r="O134"/>
      <c r="P134"/>
      <c r="Q134"/>
    </row>
    <row r="135" customHeight="1" spans="8:17">
      <c r="H135"/>
      <c r="I135"/>
      <c r="J135"/>
      <c r="K135"/>
      <c r="N135"/>
      <c r="O135"/>
      <c r="P135"/>
      <c r="Q135"/>
    </row>
    <row r="136" customHeight="1" spans="8:17">
      <c r="H136"/>
      <c r="I136"/>
      <c r="J136"/>
      <c r="K136"/>
      <c r="N136"/>
      <c r="O136"/>
      <c r="P136"/>
      <c r="Q136"/>
    </row>
    <row r="137" customHeight="1" spans="8:17">
      <c r="H137"/>
      <c r="I137"/>
      <c r="J137"/>
      <c r="K137"/>
      <c r="N137"/>
      <c r="O137"/>
      <c r="P137"/>
      <c r="Q137"/>
    </row>
    <row r="138" customHeight="1" spans="8:17">
      <c r="H138"/>
      <c r="I138"/>
      <c r="J138"/>
      <c r="K138"/>
      <c r="N138"/>
      <c r="O138"/>
      <c r="P138"/>
      <c r="Q138"/>
    </row>
    <row r="139" customHeight="1" spans="8:17">
      <c r="H139"/>
      <c r="I139"/>
      <c r="J139"/>
      <c r="K139"/>
      <c r="N139"/>
      <c r="O139"/>
      <c r="P139"/>
      <c r="Q139"/>
    </row>
    <row r="140" customHeight="1" spans="8:17">
      <c r="H140"/>
      <c r="I140"/>
      <c r="J140"/>
      <c r="K140"/>
      <c r="N140"/>
      <c r="O140"/>
      <c r="P140"/>
      <c r="Q140"/>
    </row>
    <row r="141" customHeight="1" spans="8:17">
      <c r="H141"/>
      <c r="I141"/>
      <c r="J141"/>
      <c r="K141"/>
      <c r="N141"/>
      <c r="O141"/>
      <c r="P141"/>
      <c r="Q141"/>
    </row>
    <row r="142" customHeight="1" spans="8:17">
      <c r="H142"/>
      <c r="I142"/>
      <c r="J142"/>
      <c r="K142"/>
      <c r="N142"/>
      <c r="O142"/>
      <c r="P142"/>
      <c r="Q142"/>
    </row>
    <row r="143" customHeight="1" spans="8:17">
      <c r="H143"/>
      <c r="I143"/>
      <c r="J143"/>
      <c r="K143"/>
      <c r="N143"/>
      <c r="O143"/>
      <c r="P143"/>
      <c r="Q143"/>
    </row>
    <row r="144" customHeight="1" spans="8:17">
      <c r="H144"/>
      <c r="I144"/>
      <c r="J144"/>
      <c r="K144"/>
      <c r="N144"/>
      <c r="O144"/>
      <c r="P144"/>
      <c r="Q144"/>
    </row>
    <row r="145" customHeight="1" spans="8:17">
      <c r="H145"/>
      <c r="I145"/>
      <c r="J145"/>
      <c r="K145"/>
      <c r="N145"/>
      <c r="O145"/>
      <c r="P145"/>
      <c r="Q145"/>
    </row>
    <row r="146" customHeight="1" spans="8:17">
      <c r="H146"/>
      <c r="I146"/>
      <c r="J146"/>
      <c r="K146"/>
      <c r="N146"/>
      <c r="O146"/>
      <c r="P146"/>
      <c r="Q146"/>
    </row>
    <row r="147" customHeight="1" spans="8:17">
      <c r="H147"/>
      <c r="I147"/>
      <c r="J147"/>
      <c r="K147"/>
      <c r="N147"/>
      <c r="O147"/>
      <c r="P147"/>
      <c r="Q147"/>
    </row>
    <row r="148" customHeight="1" spans="8:17">
      <c r="H148"/>
      <c r="I148"/>
      <c r="J148"/>
      <c r="K148"/>
      <c r="N148"/>
      <c r="O148"/>
      <c r="P148"/>
      <c r="Q148"/>
    </row>
    <row r="149" customHeight="1" spans="8:17">
      <c r="H149"/>
      <c r="I149"/>
      <c r="J149"/>
      <c r="K149"/>
      <c r="N149"/>
      <c r="O149"/>
      <c r="P149"/>
      <c r="Q149"/>
    </row>
    <row r="150" customHeight="1" spans="8:17">
      <c r="H150"/>
      <c r="I150"/>
      <c r="J150"/>
      <c r="K150"/>
      <c r="N150"/>
      <c r="O150"/>
      <c r="P150"/>
      <c r="Q150"/>
    </row>
    <row r="151" customHeight="1" spans="8:17">
      <c r="H151"/>
      <c r="I151"/>
      <c r="J151"/>
      <c r="K151"/>
      <c r="N151"/>
      <c r="O151"/>
      <c r="P151"/>
      <c r="Q151"/>
    </row>
    <row r="152" customHeight="1" spans="8:17">
      <c r="H152"/>
      <c r="I152"/>
      <c r="J152"/>
      <c r="K152"/>
      <c r="N152"/>
      <c r="O152"/>
      <c r="P152"/>
      <c r="Q152"/>
    </row>
    <row r="153" customHeight="1" spans="8:17">
      <c r="H153"/>
      <c r="I153"/>
      <c r="J153"/>
      <c r="K153"/>
      <c r="N153"/>
      <c r="O153"/>
      <c r="P153"/>
      <c r="Q153"/>
    </row>
    <row r="154" customHeight="1" spans="8:17">
      <c r="H154"/>
      <c r="I154"/>
      <c r="J154"/>
      <c r="K154"/>
      <c r="N154"/>
      <c r="O154"/>
      <c r="P154"/>
      <c r="Q154"/>
    </row>
    <row r="155" customHeight="1" spans="8:17">
      <c r="H155"/>
      <c r="I155"/>
      <c r="J155"/>
      <c r="K155"/>
      <c r="N155"/>
      <c r="O155"/>
      <c r="P155"/>
      <c r="Q155"/>
    </row>
    <row r="156" customHeight="1" spans="8:17">
      <c r="H156"/>
      <c r="I156"/>
      <c r="J156"/>
      <c r="K156"/>
      <c r="N156"/>
      <c r="O156"/>
      <c r="P156"/>
      <c r="Q156"/>
    </row>
    <row r="157" customHeight="1" spans="8:17">
      <c r="H157"/>
      <c r="I157"/>
      <c r="J157"/>
      <c r="K157"/>
      <c r="N157"/>
      <c r="O157"/>
      <c r="P157"/>
      <c r="Q157"/>
    </row>
    <row r="158" customHeight="1" spans="8:17">
      <c r="H158"/>
      <c r="I158"/>
      <c r="J158"/>
      <c r="K158"/>
      <c r="N158"/>
      <c r="O158"/>
      <c r="P158"/>
      <c r="Q158"/>
    </row>
    <row r="159" customHeight="1" spans="8:17">
      <c r="H159"/>
      <c r="I159"/>
      <c r="J159"/>
      <c r="K159"/>
      <c r="N159"/>
      <c r="O159"/>
      <c r="P159"/>
      <c r="Q159"/>
    </row>
    <row r="160" customHeight="1" spans="8:17">
      <c r="H160"/>
      <c r="I160"/>
      <c r="J160"/>
      <c r="K160"/>
      <c r="N160"/>
      <c r="O160"/>
      <c r="P160"/>
      <c r="Q160"/>
    </row>
    <row r="161" customHeight="1" spans="8:17">
      <c r="H161"/>
      <c r="I161"/>
      <c r="J161"/>
      <c r="K161"/>
      <c r="N161"/>
      <c r="O161"/>
      <c r="P161"/>
      <c r="Q161"/>
    </row>
    <row r="162" customHeight="1" spans="8:17">
      <c r="H162"/>
      <c r="I162"/>
      <c r="J162"/>
      <c r="K162"/>
      <c r="N162"/>
      <c r="O162"/>
      <c r="P162"/>
      <c r="Q162"/>
    </row>
    <row r="163" customHeight="1" spans="8:17">
      <c r="H163"/>
      <c r="I163"/>
      <c r="J163"/>
      <c r="K163"/>
      <c r="N163"/>
      <c r="O163"/>
      <c r="P163"/>
      <c r="Q163"/>
    </row>
    <row r="164" customHeight="1" spans="8:17">
      <c r="H164"/>
      <c r="I164"/>
      <c r="J164"/>
      <c r="K164"/>
      <c r="N164"/>
      <c r="O164"/>
      <c r="P164"/>
      <c r="Q164"/>
    </row>
    <row r="165" customHeight="1" spans="8:17">
      <c r="H165"/>
      <c r="I165"/>
      <c r="J165"/>
      <c r="K165"/>
      <c r="N165"/>
      <c r="O165"/>
      <c r="P165"/>
      <c r="Q165"/>
    </row>
    <row r="166" customHeight="1" spans="8:17">
      <c r="H166"/>
      <c r="I166"/>
      <c r="J166"/>
      <c r="K166"/>
      <c r="N166"/>
      <c r="O166"/>
      <c r="P166"/>
      <c r="Q166"/>
    </row>
    <row r="167" customHeight="1" spans="8:17">
      <c r="H167"/>
      <c r="I167"/>
      <c r="J167"/>
      <c r="K167"/>
      <c r="N167"/>
      <c r="O167"/>
      <c r="P167"/>
      <c r="Q167"/>
    </row>
    <row r="168" customHeight="1" spans="8:17">
      <c r="H168"/>
      <c r="I168"/>
      <c r="J168"/>
      <c r="K168"/>
      <c r="N168"/>
      <c r="O168"/>
      <c r="P168"/>
      <c r="Q168"/>
    </row>
    <row r="169" customHeight="1" spans="8:17">
      <c r="H169"/>
      <c r="I169"/>
      <c r="J169"/>
      <c r="K169"/>
      <c r="N169"/>
      <c r="O169"/>
      <c r="P169"/>
      <c r="Q169"/>
    </row>
    <row r="170" customHeight="1" spans="8:17">
      <c r="H170"/>
      <c r="I170"/>
      <c r="J170"/>
      <c r="K170"/>
      <c r="N170"/>
      <c r="O170"/>
      <c r="P170"/>
      <c r="Q170"/>
    </row>
    <row r="171" customHeight="1" spans="8:17">
      <c r="H171"/>
      <c r="I171"/>
      <c r="J171"/>
      <c r="K171"/>
      <c r="N171"/>
      <c r="O171"/>
      <c r="P171"/>
      <c r="Q171"/>
    </row>
    <row r="172" customHeight="1" spans="8:17">
      <c r="H172"/>
      <c r="I172"/>
      <c r="J172"/>
      <c r="K172"/>
      <c r="N172"/>
      <c r="O172"/>
      <c r="P172"/>
      <c r="Q172"/>
    </row>
    <row r="173" customHeight="1" spans="8:17">
      <c r="H173"/>
      <c r="I173"/>
      <c r="J173"/>
      <c r="K173"/>
      <c r="N173"/>
      <c r="O173"/>
      <c r="P173"/>
      <c r="Q173"/>
    </row>
    <row r="174" customHeight="1" spans="8:17">
      <c r="H174"/>
      <c r="I174"/>
      <c r="J174"/>
      <c r="K174"/>
      <c r="N174"/>
      <c r="O174"/>
      <c r="P174"/>
      <c r="Q174"/>
    </row>
    <row r="175" customHeight="1" spans="8:17">
      <c r="H175"/>
      <c r="I175"/>
      <c r="J175"/>
      <c r="K175"/>
      <c r="N175"/>
      <c r="O175"/>
      <c r="P175"/>
      <c r="Q175"/>
    </row>
    <row r="176" customHeight="1" spans="8:17">
      <c r="H176"/>
      <c r="I176"/>
      <c r="J176"/>
      <c r="K176"/>
      <c r="N176"/>
      <c r="O176"/>
      <c r="P176"/>
      <c r="Q176"/>
    </row>
    <row r="177" customHeight="1" spans="8:17">
      <c r="H177"/>
      <c r="I177"/>
      <c r="J177"/>
      <c r="K177"/>
      <c r="N177"/>
      <c r="O177"/>
      <c r="P177"/>
      <c r="Q177"/>
    </row>
    <row r="178" customHeight="1" spans="8:17">
      <c r="H178"/>
      <c r="I178"/>
      <c r="J178"/>
      <c r="K178"/>
      <c r="N178"/>
      <c r="O178"/>
      <c r="P178"/>
      <c r="Q178"/>
    </row>
    <row r="179" customHeight="1" spans="8:17">
      <c r="H179"/>
      <c r="I179"/>
      <c r="J179"/>
      <c r="K179"/>
      <c r="N179"/>
      <c r="O179"/>
      <c r="P179"/>
      <c r="Q179"/>
    </row>
    <row r="180" customHeight="1" spans="8:17">
      <c r="H180"/>
      <c r="I180"/>
      <c r="J180"/>
      <c r="K180"/>
      <c r="N180"/>
      <c r="O180"/>
      <c r="P180"/>
      <c r="Q180"/>
    </row>
    <row r="181" customHeight="1" spans="8:17">
      <c r="H181"/>
      <c r="I181"/>
      <c r="J181"/>
      <c r="K181"/>
      <c r="N181"/>
      <c r="O181"/>
      <c r="P181"/>
      <c r="Q181"/>
    </row>
    <row r="182" customHeight="1" spans="8:17">
      <c r="H182"/>
      <c r="I182"/>
      <c r="J182"/>
      <c r="K182"/>
      <c r="N182"/>
      <c r="O182"/>
      <c r="P182"/>
      <c r="Q182"/>
    </row>
    <row r="183" customHeight="1" spans="8:17">
      <c r="H183"/>
      <c r="I183"/>
      <c r="J183"/>
      <c r="K183"/>
      <c r="N183"/>
      <c r="O183"/>
      <c r="P183"/>
      <c r="Q183"/>
    </row>
    <row r="184" customHeight="1" spans="8:17">
      <c r="H184"/>
      <c r="I184"/>
      <c r="J184"/>
      <c r="K184"/>
      <c r="N184"/>
      <c r="O184"/>
      <c r="P184"/>
      <c r="Q184"/>
    </row>
    <row r="185" customHeight="1" spans="8:17">
      <c r="H185"/>
      <c r="I185"/>
      <c r="J185"/>
      <c r="K185"/>
      <c r="N185"/>
      <c r="O185"/>
      <c r="P185"/>
      <c r="Q185"/>
    </row>
    <row r="186" customHeight="1" spans="8:17">
      <c r="H186"/>
      <c r="I186"/>
      <c r="J186"/>
      <c r="K186"/>
      <c r="N186"/>
      <c r="O186"/>
      <c r="P186"/>
      <c r="Q186"/>
    </row>
    <row r="187" customHeight="1" spans="8:17">
      <c r="H187"/>
      <c r="I187"/>
      <c r="J187"/>
      <c r="K187"/>
      <c r="N187"/>
      <c r="O187"/>
      <c r="P187"/>
      <c r="Q187"/>
    </row>
    <row r="188" customHeight="1" spans="8:17">
      <c r="H188"/>
      <c r="I188"/>
      <c r="J188"/>
      <c r="K188"/>
      <c r="N188"/>
      <c r="O188"/>
      <c r="P188"/>
      <c r="Q188"/>
    </row>
    <row r="189" customHeight="1" spans="8:17">
      <c r="H189"/>
      <c r="I189"/>
      <c r="J189"/>
      <c r="K189"/>
      <c r="N189"/>
      <c r="O189"/>
      <c r="P189"/>
      <c r="Q189"/>
    </row>
    <row r="190" customHeight="1" spans="8:17">
      <c r="H190"/>
      <c r="I190"/>
      <c r="J190"/>
      <c r="K190"/>
      <c r="N190"/>
      <c r="O190"/>
      <c r="P190"/>
      <c r="Q190"/>
    </row>
    <row r="191" customHeight="1" spans="8:17">
      <c r="H191"/>
      <c r="I191"/>
      <c r="J191"/>
      <c r="K191"/>
      <c r="N191"/>
      <c r="O191"/>
      <c r="P191"/>
      <c r="Q191"/>
    </row>
    <row r="192" customHeight="1" spans="8:17">
      <c r="H192"/>
      <c r="I192"/>
      <c r="J192"/>
      <c r="K192"/>
      <c r="N192"/>
      <c r="O192"/>
      <c r="P192"/>
      <c r="Q192"/>
    </row>
    <row r="193" customHeight="1" spans="8:17">
      <c r="H193"/>
      <c r="I193"/>
      <c r="J193"/>
      <c r="K193"/>
      <c r="N193"/>
      <c r="O193"/>
      <c r="P193"/>
      <c r="Q193"/>
    </row>
    <row r="194" customHeight="1" spans="8:17">
      <c r="H194"/>
      <c r="I194"/>
      <c r="J194"/>
      <c r="K194"/>
      <c r="N194"/>
      <c r="O194"/>
      <c r="P194"/>
      <c r="Q194"/>
    </row>
    <row r="195" customHeight="1" spans="8:17">
      <c r="H195"/>
      <c r="I195"/>
      <c r="J195"/>
      <c r="K195"/>
      <c r="N195"/>
      <c r="O195"/>
      <c r="P195"/>
      <c r="Q195"/>
    </row>
    <row r="196" customHeight="1" spans="8:17">
      <c r="H196"/>
      <c r="I196"/>
      <c r="J196"/>
      <c r="K196"/>
      <c r="N196"/>
      <c r="O196"/>
      <c r="P196"/>
      <c r="Q196"/>
    </row>
    <row r="197" customHeight="1" spans="8:17">
      <c r="H197"/>
      <c r="I197"/>
      <c r="J197"/>
      <c r="K197"/>
      <c r="N197"/>
      <c r="O197"/>
      <c r="P197"/>
      <c r="Q197"/>
    </row>
    <row r="198" customHeight="1" spans="8:17">
      <c r="H198"/>
      <c r="I198"/>
      <c r="J198"/>
      <c r="K198"/>
      <c r="N198"/>
      <c r="O198"/>
      <c r="P198"/>
      <c r="Q198"/>
    </row>
    <row r="199" customHeight="1" spans="8:17">
      <c r="H199"/>
      <c r="I199"/>
      <c r="J199"/>
      <c r="K199"/>
      <c r="N199"/>
      <c r="O199"/>
      <c r="P199"/>
      <c r="Q199"/>
    </row>
    <row r="200" customHeight="1" spans="8:17">
      <c r="H200"/>
      <c r="I200"/>
      <c r="J200"/>
      <c r="K200"/>
      <c r="N200"/>
      <c r="O200"/>
      <c r="P200"/>
      <c r="Q200"/>
    </row>
    <row r="201" customHeight="1" spans="8:17">
      <c r="H201"/>
      <c r="I201"/>
      <c r="J201"/>
      <c r="K201"/>
      <c r="N201"/>
      <c r="O201"/>
      <c r="P201"/>
      <c r="Q201"/>
    </row>
    <row r="202" customHeight="1" spans="8:17">
      <c r="H202"/>
      <c r="I202"/>
      <c r="J202"/>
      <c r="K202"/>
      <c r="N202"/>
      <c r="O202"/>
      <c r="P202"/>
      <c r="Q202"/>
    </row>
    <row r="203" customHeight="1" spans="8:17">
      <c r="H203"/>
      <c r="I203"/>
      <c r="J203"/>
      <c r="K203"/>
      <c r="N203"/>
      <c r="O203"/>
      <c r="P203"/>
      <c r="Q203"/>
    </row>
    <row r="204" customHeight="1" spans="8:17">
      <c r="H204"/>
      <c r="I204"/>
      <c r="J204"/>
      <c r="K204"/>
      <c r="N204"/>
      <c r="O204"/>
      <c r="P204"/>
      <c r="Q204"/>
    </row>
    <row r="205" customHeight="1" spans="8:17">
      <c r="H205"/>
      <c r="I205"/>
      <c r="J205"/>
      <c r="K205"/>
      <c r="N205"/>
      <c r="O205"/>
      <c r="P205"/>
      <c r="Q205"/>
    </row>
    <row r="206" customHeight="1" spans="8:17">
      <c r="H206"/>
      <c r="I206"/>
      <c r="J206"/>
      <c r="K206"/>
      <c r="N206"/>
      <c r="O206"/>
      <c r="P206"/>
      <c r="Q206"/>
    </row>
    <row r="207" customHeight="1" spans="8:17">
      <c r="H207"/>
      <c r="I207"/>
      <c r="J207"/>
      <c r="K207"/>
      <c r="N207"/>
      <c r="O207"/>
      <c r="P207"/>
      <c r="Q207"/>
    </row>
    <row r="208" customHeight="1" spans="8:17">
      <c r="H208"/>
      <c r="I208"/>
      <c r="J208"/>
      <c r="K208"/>
      <c r="N208"/>
      <c r="O208"/>
      <c r="P208"/>
      <c r="Q208"/>
    </row>
    <row r="209" customHeight="1" spans="8:17">
      <c r="H209"/>
      <c r="I209"/>
      <c r="J209"/>
      <c r="K209"/>
      <c r="N209"/>
      <c r="O209"/>
      <c r="P209"/>
      <c r="Q209"/>
    </row>
    <row r="210" customHeight="1" spans="8:17">
      <c r="H210"/>
      <c r="I210"/>
      <c r="J210"/>
      <c r="K210"/>
      <c r="N210"/>
      <c r="O210"/>
      <c r="P210"/>
      <c r="Q210"/>
    </row>
    <row r="211" customHeight="1" spans="8:17">
      <c r="H211"/>
      <c r="I211"/>
      <c r="J211"/>
      <c r="K211"/>
      <c r="N211"/>
      <c r="O211"/>
      <c r="P211"/>
      <c r="Q211"/>
    </row>
    <row r="212" customHeight="1" spans="8:17">
      <c r="H212"/>
      <c r="I212"/>
      <c r="J212"/>
      <c r="K212"/>
      <c r="N212"/>
      <c r="O212"/>
      <c r="P212"/>
      <c r="Q212"/>
    </row>
    <row r="213" customHeight="1" spans="8:17">
      <c r="H213"/>
      <c r="I213"/>
      <c r="J213"/>
      <c r="K213"/>
      <c r="N213"/>
      <c r="O213"/>
      <c r="P213"/>
      <c r="Q213"/>
    </row>
    <row r="214" customHeight="1" spans="8:17">
      <c r="H214"/>
      <c r="I214"/>
      <c r="J214"/>
      <c r="K214"/>
      <c r="N214"/>
      <c r="O214"/>
      <c r="P214"/>
      <c r="Q214"/>
    </row>
    <row r="215" customHeight="1" spans="8:17">
      <c r="H215"/>
      <c r="I215"/>
      <c r="J215"/>
      <c r="K215"/>
      <c r="N215"/>
      <c r="O215"/>
      <c r="P215"/>
      <c r="Q215"/>
    </row>
    <row r="216" customHeight="1" spans="8:17">
      <c r="H216"/>
      <c r="I216"/>
      <c r="J216"/>
      <c r="K216"/>
      <c r="N216"/>
      <c r="O216"/>
      <c r="P216"/>
      <c r="Q216"/>
    </row>
    <row r="217" customHeight="1" spans="8:17">
      <c r="H217"/>
      <c r="I217"/>
      <c r="J217"/>
      <c r="K217"/>
      <c r="N217"/>
      <c r="O217"/>
      <c r="P217"/>
      <c r="Q217"/>
    </row>
    <row r="218" customHeight="1" spans="8:17">
      <c r="H218"/>
      <c r="I218"/>
      <c r="J218"/>
      <c r="K218"/>
      <c r="N218"/>
      <c r="O218"/>
      <c r="P218"/>
      <c r="Q218"/>
    </row>
    <row r="219" customHeight="1" spans="8:17">
      <c r="H219"/>
      <c r="I219"/>
      <c r="J219"/>
      <c r="K219"/>
      <c r="N219"/>
      <c r="O219"/>
      <c r="P219"/>
      <c r="Q219"/>
    </row>
    <row r="220" customHeight="1" spans="8:17">
      <c r="H220"/>
      <c r="I220"/>
      <c r="J220"/>
      <c r="K220"/>
      <c r="N220"/>
      <c r="O220"/>
      <c r="P220"/>
      <c r="Q220"/>
    </row>
    <row r="221" customHeight="1" spans="8:17">
      <c r="H221"/>
      <c r="I221"/>
      <c r="J221"/>
      <c r="K221"/>
      <c r="N221"/>
      <c r="O221"/>
      <c r="P221"/>
      <c r="Q221"/>
    </row>
    <row r="222" customHeight="1" spans="8:17">
      <c r="H222"/>
      <c r="I222"/>
      <c r="J222"/>
      <c r="K222"/>
      <c r="N222"/>
      <c r="O222"/>
      <c r="P222"/>
      <c r="Q222"/>
    </row>
    <row r="223" customHeight="1" spans="8:17">
      <c r="H223"/>
      <c r="I223"/>
      <c r="J223"/>
      <c r="K223"/>
      <c r="N223"/>
      <c r="O223"/>
      <c r="P223"/>
      <c r="Q223"/>
    </row>
    <row r="224" customHeight="1" spans="8:17">
      <c r="H224"/>
      <c r="I224"/>
      <c r="J224"/>
      <c r="K224"/>
      <c r="N224"/>
      <c r="O224"/>
      <c r="P224"/>
      <c r="Q224"/>
    </row>
    <row r="225" customHeight="1" spans="8:17">
      <c r="H225"/>
      <c r="I225"/>
      <c r="J225"/>
      <c r="K225"/>
      <c r="N225"/>
      <c r="O225"/>
      <c r="P225"/>
      <c r="Q225"/>
    </row>
    <row r="226" customHeight="1" spans="8:17">
      <c r="H226"/>
      <c r="I226"/>
      <c r="J226"/>
      <c r="K226"/>
      <c r="N226"/>
      <c r="O226"/>
      <c r="P226"/>
      <c r="Q226"/>
    </row>
    <row r="227" customHeight="1" spans="8:17">
      <c r="H227"/>
      <c r="I227"/>
      <c r="J227"/>
      <c r="K227"/>
      <c r="N227"/>
      <c r="O227"/>
      <c r="P227"/>
      <c r="Q227"/>
    </row>
    <row r="228" customHeight="1" spans="8:17">
      <c r="H228"/>
      <c r="I228"/>
      <c r="J228"/>
      <c r="K228"/>
      <c r="N228"/>
      <c r="O228"/>
      <c r="P228"/>
      <c r="Q228"/>
    </row>
    <row r="229" customHeight="1" spans="8:17">
      <c r="H229"/>
      <c r="I229"/>
      <c r="J229"/>
      <c r="K229"/>
      <c r="N229"/>
      <c r="O229"/>
      <c r="P229"/>
      <c r="Q229"/>
    </row>
    <row r="230" customHeight="1" spans="8:17">
      <c r="H230"/>
      <c r="I230"/>
      <c r="J230"/>
      <c r="K230"/>
      <c r="N230"/>
      <c r="O230"/>
      <c r="P230"/>
      <c r="Q230"/>
    </row>
    <row r="231" customHeight="1" spans="8:17">
      <c r="H231"/>
      <c r="I231"/>
      <c r="J231"/>
      <c r="K231"/>
      <c r="N231"/>
      <c r="O231"/>
      <c r="P231"/>
      <c r="Q231"/>
    </row>
    <row r="232" customHeight="1" spans="8:17">
      <c r="H232"/>
      <c r="I232"/>
      <c r="J232"/>
      <c r="K232"/>
      <c r="N232"/>
      <c r="O232"/>
      <c r="P232"/>
      <c r="Q232"/>
    </row>
    <row r="233" customHeight="1" spans="8:17">
      <c r="H233"/>
      <c r="I233"/>
      <c r="J233"/>
      <c r="K233"/>
      <c r="N233"/>
      <c r="O233"/>
      <c r="P233"/>
      <c r="Q233"/>
    </row>
    <row r="234" customHeight="1" spans="8:17">
      <c r="H234"/>
      <c r="I234"/>
      <c r="J234"/>
      <c r="K234"/>
      <c r="N234"/>
      <c r="O234"/>
      <c r="P234"/>
      <c r="Q234"/>
    </row>
    <row r="235" customHeight="1" spans="8:17">
      <c r="H235"/>
      <c r="I235"/>
      <c r="J235"/>
      <c r="K235"/>
      <c r="N235"/>
      <c r="O235"/>
      <c r="P235"/>
      <c r="Q235"/>
    </row>
    <row r="236" customHeight="1" spans="8:17">
      <c r="H236"/>
      <c r="I236"/>
      <c r="J236"/>
      <c r="K236"/>
      <c r="N236"/>
      <c r="O236"/>
      <c r="P236"/>
      <c r="Q236"/>
    </row>
    <row r="237" customHeight="1" spans="8:17">
      <c r="H237"/>
      <c r="I237"/>
      <c r="J237"/>
      <c r="K237"/>
      <c r="N237"/>
      <c r="O237"/>
      <c r="P237"/>
      <c r="Q237"/>
    </row>
    <row r="238" customHeight="1" spans="8:17">
      <c r="H238"/>
      <c r="I238"/>
      <c r="J238"/>
      <c r="K238"/>
      <c r="N238"/>
      <c r="O238"/>
      <c r="P238"/>
      <c r="Q238"/>
    </row>
    <row r="239" customHeight="1" spans="8:17">
      <c r="H239"/>
      <c r="I239"/>
      <c r="J239"/>
      <c r="K239"/>
      <c r="N239"/>
      <c r="O239"/>
      <c r="P239"/>
      <c r="Q239"/>
    </row>
    <row r="240" customHeight="1" spans="8:17">
      <c r="H240"/>
      <c r="I240"/>
      <c r="J240"/>
      <c r="K240"/>
      <c r="N240"/>
      <c r="O240"/>
      <c r="P240"/>
      <c r="Q240"/>
    </row>
    <row r="241" customHeight="1" spans="8:17">
      <c r="H241"/>
      <c r="I241"/>
      <c r="J241"/>
      <c r="K241"/>
      <c r="N241"/>
      <c r="O241"/>
      <c r="P241"/>
      <c r="Q241"/>
    </row>
    <row r="242" customHeight="1" spans="8:17">
      <c r="H242"/>
      <c r="I242"/>
      <c r="J242"/>
      <c r="K242"/>
      <c r="N242"/>
      <c r="O242"/>
      <c r="P242"/>
      <c r="Q242"/>
    </row>
    <row r="243" customHeight="1" spans="8:17">
      <c r="H243"/>
      <c r="I243"/>
      <c r="J243"/>
      <c r="K243"/>
      <c r="N243"/>
      <c r="O243"/>
      <c r="P243"/>
      <c r="Q243"/>
    </row>
    <row r="244" customHeight="1" spans="8:17">
      <c r="H244"/>
      <c r="I244"/>
      <c r="J244"/>
      <c r="K244"/>
      <c r="N244"/>
      <c r="O244"/>
      <c r="P244"/>
      <c r="Q244"/>
    </row>
    <row r="245" customHeight="1" spans="8:17">
      <c r="H245"/>
      <c r="I245"/>
      <c r="J245"/>
      <c r="K245"/>
      <c r="N245"/>
      <c r="O245"/>
      <c r="P245"/>
      <c r="Q245"/>
    </row>
    <row r="246" customHeight="1" spans="8:17">
      <c r="H246"/>
      <c r="I246"/>
      <c r="J246"/>
      <c r="K246"/>
      <c r="N246"/>
      <c r="O246"/>
      <c r="P246"/>
      <c r="Q246"/>
    </row>
    <row r="247" customHeight="1" spans="8:17">
      <c r="H247"/>
      <c r="I247"/>
      <c r="J247"/>
      <c r="K247"/>
      <c r="N247"/>
      <c r="O247"/>
      <c r="P247"/>
      <c r="Q247"/>
    </row>
    <row r="248" customHeight="1" spans="8:17">
      <c r="H248"/>
      <c r="I248"/>
      <c r="J248"/>
      <c r="K248"/>
      <c r="N248"/>
      <c r="O248"/>
      <c r="P248"/>
      <c r="Q248"/>
    </row>
    <row r="249" customHeight="1" spans="8:17">
      <c r="H249"/>
      <c r="I249"/>
      <c r="J249"/>
      <c r="K249"/>
      <c r="N249"/>
      <c r="O249"/>
      <c r="P249"/>
      <c r="Q249"/>
    </row>
    <row r="250" customHeight="1" spans="8:17">
      <c r="H250"/>
      <c r="I250"/>
      <c r="J250"/>
      <c r="K250"/>
      <c r="N250"/>
      <c r="O250"/>
      <c r="P250"/>
      <c r="Q250"/>
    </row>
    <row r="251" customHeight="1" spans="8:17">
      <c r="H251"/>
      <c r="I251"/>
      <c r="J251"/>
      <c r="K251"/>
      <c r="N251"/>
      <c r="O251"/>
      <c r="P251"/>
      <c r="Q251"/>
    </row>
    <row r="252" customHeight="1" spans="8:17">
      <c r="H252"/>
      <c r="I252"/>
      <c r="J252"/>
      <c r="K252"/>
      <c r="N252"/>
      <c r="O252"/>
      <c r="P252"/>
      <c r="Q252"/>
    </row>
    <row r="253" customHeight="1" spans="8:17">
      <c r="H253"/>
      <c r="I253"/>
      <c r="J253"/>
      <c r="K253"/>
      <c r="N253"/>
      <c r="O253"/>
      <c r="P253"/>
      <c r="Q253"/>
    </row>
    <row r="254" customHeight="1" spans="8:17">
      <c r="H254"/>
      <c r="I254"/>
      <c r="J254"/>
      <c r="K254"/>
      <c r="N254"/>
      <c r="O254"/>
      <c r="P254"/>
      <c r="Q254"/>
    </row>
    <row r="255" customHeight="1" spans="8:17">
      <c r="H255"/>
      <c r="I255"/>
      <c r="J255"/>
      <c r="K255"/>
      <c r="N255"/>
      <c r="O255"/>
      <c r="P255"/>
      <c r="Q255"/>
    </row>
    <row r="256" customHeight="1" spans="8:17">
      <c r="H256"/>
      <c r="I256"/>
      <c r="J256"/>
      <c r="K256"/>
      <c r="N256"/>
      <c r="O256"/>
      <c r="P256"/>
      <c r="Q256"/>
    </row>
    <row r="257" customHeight="1" spans="8:17">
      <c r="H257"/>
      <c r="I257"/>
      <c r="J257"/>
      <c r="K257"/>
      <c r="N257"/>
      <c r="O257"/>
      <c r="P257"/>
      <c r="Q257"/>
    </row>
    <row r="258" customHeight="1" spans="8:17">
      <c r="H258"/>
      <c r="I258"/>
      <c r="J258"/>
      <c r="K258"/>
      <c r="N258"/>
      <c r="O258"/>
      <c r="P258"/>
      <c r="Q258"/>
    </row>
    <row r="259" customHeight="1" spans="8:17">
      <c r="H259"/>
      <c r="I259"/>
      <c r="J259"/>
      <c r="K259"/>
      <c r="N259"/>
      <c r="O259"/>
      <c r="P259"/>
      <c r="Q259"/>
    </row>
    <row r="260" customHeight="1" spans="8:17">
      <c r="H260"/>
      <c r="I260"/>
      <c r="J260"/>
      <c r="K260"/>
      <c r="N260"/>
      <c r="O260"/>
      <c r="P260"/>
      <c r="Q260"/>
    </row>
    <row r="261" customHeight="1" spans="8:17">
      <c r="H261"/>
      <c r="I261"/>
      <c r="J261"/>
      <c r="K261"/>
      <c r="N261"/>
      <c r="O261"/>
      <c r="P261"/>
      <c r="Q261"/>
    </row>
    <row r="262" customHeight="1" spans="8:17">
      <c r="H262"/>
      <c r="I262"/>
      <c r="J262"/>
      <c r="K262"/>
      <c r="N262"/>
      <c r="O262"/>
      <c r="P262"/>
      <c r="Q262"/>
    </row>
    <row r="263" customHeight="1" spans="8:17">
      <c r="H263"/>
      <c r="I263"/>
      <c r="J263"/>
      <c r="K263"/>
      <c r="N263"/>
      <c r="O263"/>
      <c r="P263"/>
      <c r="Q263"/>
    </row>
    <row r="264" customHeight="1" spans="8:17">
      <c r="H264"/>
      <c r="I264"/>
      <c r="J264"/>
      <c r="K264"/>
      <c r="N264"/>
      <c r="O264"/>
      <c r="P264"/>
      <c r="Q264"/>
    </row>
    <row r="265" customHeight="1" spans="8:17">
      <c r="H265"/>
      <c r="I265"/>
      <c r="J265"/>
      <c r="K265"/>
      <c r="N265"/>
      <c r="O265"/>
      <c r="P265"/>
      <c r="Q265"/>
    </row>
    <row r="266" customHeight="1" spans="8:17">
      <c r="H266"/>
      <c r="I266"/>
      <c r="J266"/>
      <c r="K266"/>
      <c r="N266"/>
      <c r="O266"/>
      <c r="P266"/>
      <c r="Q266"/>
    </row>
    <row r="267" customHeight="1" spans="8:17">
      <c r="H267"/>
      <c r="I267"/>
      <c r="J267"/>
      <c r="K267"/>
      <c r="N267"/>
      <c r="O267"/>
      <c r="P267"/>
      <c r="Q267"/>
    </row>
    <row r="268" customHeight="1" spans="8:17">
      <c r="H268"/>
      <c r="I268"/>
      <c r="J268"/>
      <c r="K268"/>
      <c r="N268"/>
      <c r="O268"/>
      <c r="P268"/>
      <c r="Q268"/>
    </row>
    <row r="269" customHeight="1" spans="8:17">
      <c r="H269"/>
      <c r="I269"/>
      <c r="J269"/>
      <c r="K269"/>
      <c r="N269"/>
      <c r="O269"/>
      <c r="P269"/>
      <c r="Q269"/>
    </row>
    <row r="270" customHeight="1" spans="8:17">
      <c r="H270"/>
      <c r="I270"/>
      <c r="J270"/>
      <c r="K270"/>
      <c r="N270"/>
      <c r="O270"/>
      <c r="P270"/>
      <c r="Q270"/>
    </row>
    <row r="271" customHeight="1" spans="8:17">
      <c r="H271"/>
      <c r="I271"/>
      <c r="J271"/>
      <c r="K271"/>
      <c r="N271"/>
      <c r="O271"/>
      <c r="P271"/>
      <c r="Q271"/>
    </row>
    <row r="272" customHeight="1" spans="8:17">
      <c r="H272"/>
      <c r="I272"/>
      <c r="J272"/>
      <c r="K272"/>
      <c r="N272"/>
      <c r="O272"/>
      <c r="P272"/>
      <c r="Q272"/>
    </row>
    <row r="273" customHeight="1" spans="8:17">
      <c r="H273"/>
      <c r="I273"/>
      <c r="J273"/>
      <c r="K273"/>
      <c r="N273"/>
      <c r="O273"/>
      <c r="P273"/>
      <c r="Q273"/>
    </row>
    <row r="274" customHeight="1" spans="8:17">
      <c r="H274"/>
      <c r="I274"/>
      <c r="J274"/>
      <c r="K274"/>
      <c r="N274"/>
      <c r="O274"/>
      <c r="P274"/>
      <c r="Q274"/>
    </row>
    <row r="275" customHeight="1" spans="8:17">
      <c r="H275"/>
      <c r="I275"/>
      <c r="J275"/>
      <c r="K275"/>
      <c r="N275"/>
      <c r="O275"/>
      <c r="P275"/>
      <c r="Q275"/>
    </row>
    <row r="276" customHeight="1" spans="8:17">
      <c r="H276"/>
      <c r="I276"/>
      <c r="J276"/>
      <c r="K276"/>
      <c r="N276"/>
      <c r="O276"/>
      <c r="P276"/>
      <c r="Q276"/>
    </row>
    <row r="277" customHeight="1" spans="8:17">
      <c r="H277"/>
      <c r="I277"/>
      <c r="J277"/>
      <c r="K277"/>
      <c r="N277"/>
      <c r="O277"/>
      <c r="P277"/>
      <c r="Q277"/>
    </row>
    <row r="278" customHeight="1" spans="8:17">
      <c r="H278"/>
      <c r="I278"/>
      <c r="J278"/>
      <c r="K278"/>
      <c r="N278"/>
      <c r="O278"/>
      <c r="P278"/>
      <c r="Q278"/>
    </row>
    <row r="279" customHeight="1" spans="8:17">
      <c r="H279"/>
      <c r="I279"/>
      <c r="J279"/>
      <c r="K279"/>
      <c r="N279"/>
      <c r="O279"/>
      <c r="P279"/>
      <c r="Q279"/>
    </row>
    <row r="280" customHeight="1" spans="8:17">
      <c r="H280"/>
      <c r="I280"/>
      <c r="J280"/>
      <c r="K280"/>
      <c r="N280"/>
      <c r="O280"/>
      <c r="P280"/>
      <c r="Q280"/>
    </row>
    <row r="281" customHeight="1" spans="8:17">
      <c r="H281"/>
      <c r="I281"/>
      <c r="J281"/>
      <c r="K281"/>
      <c r="N281"/>
      <c r="O281"/>
      <c r="P281"/>
      <c r="Q281"/>
    </row>
    <row r="282" customHeight="1" spans="8:17">
      <c r="H282"/>
      <c r="I282"/>
      <c r="J282"/>
      <c r="K282"/>
      <c r="N282"/>
      <c r="O282"/>
      <c r="P282"/>
      <c r="Q282"/>
    </row>
    <row r="283" customHeight="1" spans="8:17">
      <c r="H283"/>
      <c r="I283"/>
      <c r="J283"/>
      <c r="K283"/>
      <c r="N283"/>
      <c r="O283"/>
      <c r="P283"/>
      <c r="Q283"/>
    </row>
    <row r="284" customHeight="1" spans="8:17">
      <c r="H284"/>
      <c r="I284"/>
      <c r="J284"/>
      <c r="K284"/>
      <c r="N284"/>
      <c r="O284"/>
      <c r="P284"/>
      <c r="Q284"/>
    </row>
    <row r="285" customHeight="1" spans="8:17">
      <c r="H285"/>
      <c r="I285"/>
      <c r="J285"/>
      <c r="K285"/>
      <c r="N285"/>
      <c r="O285"/>
      <c r="P285"/>
      <c r="Q285"/>
    </row>
    <row r="286" customHeight="1" spans="8:17">
      <c r="H286"/>
      <c r="I286"/>
      <c r="J286"/>
      <c r="K286"/>
      <c r="N286"/>
      <c r="O286"/>
      <c r="P286"/>
      <c r="Q286"/>
    </row>
    <row r="287" customHeight="1" spans="8:17">
      <c r="H287"/>
      <c r="I287"/>
      <c r="J287"/>
      <c r="K287"/>
      <c r="N287"/>
      <c r="O287"/>
      <c r="P287"/>
      <c r="Q287"/>
    </row>
    <row r="288" customHeight="1" spans="8:17">
      <c r="H288"/>
      <c r="I288"/>
      <c r="J288"/>
      <c r="K288"/>
      <c r="N288"/>
      <c r="O288"/>
      <c r="P288"/>
      <c r="Q288"/>
    </row>
    <row r="289" customHeight="1" spans="8:17">
      <c r="H289"/>
      <c r="I289"/>
      <c r="J289"/>
      <c r="K289"/>
      <c r="N289"/>
      <c r="O289"/>
      <c r="P289"/>
      <c r="Q289"/>
    </row>
    <row r="290" customHeight="1" spans="8:17">
      <c r="H290"/>
      <c r="I290"/>
      <c r="J290"/>
      <c r="K290"/>
      <c r="N290"/>
      <c r="O290"/>
      <c r="P290"/>
      <c r="Q290"/>
    </row>
    <row r="291" customHeight="1" spans="8:17">
      <c r="H291"/>
      <c r="I291"/>
      <c r="J291"/>
      <c r="K291"/>
      <c r="N291"/>
      <c r="O291"/>
      <c r="P291"/>
      <c r="Q291"/>
    </row>
    <row r="292" customHeight="1" spans="8:17">
      <c r="H292"/>
      <c r="I292"/>
      <c r="J292"/>
      <c r="K292"/>
      <c r="N292"/>
      <c r="O292"/>
      <c r="P292"/>
      <c r="Q292"/>
    </row>
    <row r="293" customHeight="1" spans="8:17">
      <c r="H293"/>
      <c r="I293"/>
      <c r="J293"/>
      <c r="K293"/>
      <c r="N293"/>
      <c r="O293"/>
      <c r="P293"/>
      <c r="Q293"/>
    </row>
    <row r="294" customHeight="1" spans="8:17">
      <c r="H294"/>
      <c r="I294"/>
      <c r="J294"/>
      <c r="K294"/>
      <c r="N294"/>
      <c r="O294"/>
      <c r="P294"/>
      <c r="Q294"/>
    </row>
    <row r="295" customHeight="1" spans="8:17">
      <c r="H295"/>
      <c r="I295"/>
      <c r="J295"/>
      <c r="K295"/>
      <c r="N295"/>
      <c r="O295"/>
      <c r="P295"/>
      <c r="Q295"/>
    </row>
    <row r="296" customHeight="1" spans="8:17">
      <c r="H296"/>
      <c r="I296"/>
      <c r="J296"/>
      <c r="K296"/>
      <c r="N296"/>
      <c r="O296"/>
      <c r="P296"/>
      <c r="Q296"/>
    </row>
    <row r="297" customHeight="1" spans="8:17">
      <c r="H297"/>
      <c r="I297"/>
      <c r="J297"/>
      <c r="K297"/>
      <c r="N297"/>
      <c r="O297"/>
      <c r="P297"/>
      <c r="Q297"/>
    </row>
    <row r="298" customHeight="1" spans="8:17">
      <c r="H298"/>
      <c r="I298"/>
      <c r="J298"/>
      <c r="K298"/>
      <c r="N298"/>
      <c r="O298"/>
      <c r="P298"/>
      <c r="Q298"/>
    </row>
    <row r="299" customHeight="1" spans="8:17">
      <c r="H299"/>
      <c r="I299"/>
      <c r="J299"/>
      <c r="K299"/>
      <c r="N299"/>
      <c r="O299"/>
      <c r="P299"/>
      <c r="Q299"/>
    </row>
    <row r="300" customHeight="1" spans="8:17">
      <c r="H300"/>
      <c r="I300"/>
      <c r="J300"/>
      <c r="K300"/>
      <c r="N300"/>
      <c r="O300"/>
      <c r="P300"/>
      <c r="Q300"/>
    </row>
    <row r="301" customHeight="1" spans="8:17">
      <c r="H301"/>
      <c r="I301"/>
      <c r="J301"/>
      <c r="K301"/>
      <c r="N301"/>
      <c r="O301"/>
      <c r="P301"/>
      <c r="Q301"/>
    </row>
    <row r="302" customHeight="1" spans="8:17">
      <c r="H302"/>
      <c r="I302"/>
      <c r="J302"/>
      <c r="K302"/>
      <c r="N302"/>
      <c r="O302"/>
      <c r="P302"/>
      <c r="Q302"/>
    </row>
    <row r="303" customHeight="1" spans="8:17">
      <c r="H303"/>
      <c r="I303"/>
      <c r="J303"/>
      <c r="K303"/>
      <c r="N303"/>
      <c r="O303"/>
      <c r="P303"/>
      <c r="Q303"/>
    </row>
    <row r="304" customHeight="1" spans="8:17">
      <c r="H304"/>
      <c r="I304"/>
      <c r="J304"/>
      <c r="K304"/>
      <c r="N304"/>
      <c r="O304"/>
      <c r="P304"/>
      <c r="Q304"/>
    </row>
    <row r="305" customHeight="1" spans="8:17">
      <c r="H305"/>
      <c r="I305"/>
      <c r="J305"/>
      <c r="K305"/>
      <c r="N305"/>
      <c r="O305"/>
      <c r="P305"/>
      <c r="Q305"/>
    </row>
    <row r="306" customHeight="1" spans="8:17">
      <c r="H306"/>
      <c r="I306"/>
      <c r="J306"/>
      <c r="K306"/>
      <c r="N306"/>
      <c r="O306"/>
      <c r="P306"/>
      <c r="Q306"/>
    </row>
    <row r="307" customHeight="1" spans="8:17">
      <c r="H307"/>
      <c r="I307"/>
      <c r="J307"/>
      <c r="K307"/>
      <c r="N307"/>
      <c r="O307"/>
      <c r="P307"/>
      <c r="Q307"/>
    </row>
    <row r="308" customHeight="1" spans="8:17">
      <c r="H308"/>
      <c r="I308"/>
      <c r="J308"/>
      <c r="K308"/>
      <c r="N308"/>
      <c r="O308"/>
      <c r="P308"/>
      <c r="Q308"/>
    </row>
    <row r="309" customHeight="1" spans="8:17">
      <c r="H309"/>
      <c r="I309"/>
      <c r="J309"/>
      <c r="K309"/>
      <c r="N309"/>
      <c r="O309"/>
      <c r="P309"/>
      <c r="Q309"/>
    </row>
    <row r="310" customHeight="1" spans="8:17">
      <c r="H310"/>
      <c r="I310"/>
      <c r="J310"/>
      <c r="K310"/>
      <c r="N310"/>
      <c r="O310"/>
      <c r="P310"/>
      <c r="Q310"/>
    </row>
    <row r="311" customHeight="1" spans="8:17">
      <c r="H311"/>
      <c r="I311"/>
      <c r="J311"/>
      <c r="K311"/>
      <c r="N311"/>
      <c r="O311"/>
      <c r="P311"/>
      <c r="Q311"/>
    </row>
    <row r="312" customHeight="1" spans="8:17">
      <c r="H312"/>
      <c r="I312"/>
      <c r="J312"/>
      <c r="K312"/>
      <c r="N312"/>
      <c r="O312"/>
      <c r="P312"/>
      <c r="Q312"/>
    </row>
    <row r="313" customHeight="1" spans="8:17">
      <c r="H313"/>
      <c r="I313"/>
      <c r="J313"/>
      <c r="K313"/>
      <c r="N313"/>
      <c r="O313"/>
      <c r="P313"/>
      <c r="Q313"/>
    </row>
    <row r="314" customHeight="1" spans="8:17">
      <c r="H314"/>
      <c r="I314"/>
      <c r="J314"/>
      <c r="K314"/>
      <c r="N314"/>
      <c r="O314"/>
      <c r="P314"/>
      <c r="Q314"/>
    </row>
    <row r="315" customHeight="1" spans="8:17">
      <c r="H315"/>
      <c r="I315"/>
      <c r="J315"/>
      <c r="K315"/>
      <c r="N315"/>
      <c r="O315"/>
      <c r="P315"/>
      <c r="Q315"/>
    </row>
    <row r="316" customHeight="1" spans="8:17">
      <c r="H316"/>
      <c r="I316"/>
      <c r="J316"/>
      <c r="K316"/>
      <c r="N316"/>
      <c r="O316"/>
      <c r="P316"/>
      <c r="Q316"/>
    </row>
    <row r="317" customHeight="1" spans="8:17">
      <c r="H317"/>
      <c r="I317"/>
      <c r="J317"/>
      <c r="K317"/>
      <c r="N317"/>
      <c r="O317"/>
      <c r="P317"/>
      <c r="Q317"/>
    </row>
    <row r="318" customHeight="1" spans="8:17">
      <c r="H318"/>
      <c r="I318"/>
      <c r="J318"/>
      <c r="K318"/>
      <c r="N318"/>
      <c r="O318"/>
      <c r="P318"/>
      <c r="Q318"/>
    </row>
    <row r="319" customHeight="1" spans="8:17">
      <c r="H319"/>
      <c r="I319"/>
      <c r="J319"/>
      <c r="K319"/>
      <c r="N319"/>
      <c r="O319"/>
      <c r="P319"/>
      <c r="Q319"/>
    </row>
    <row r="320" customHeight="1" spans="8:17">
      <c r="H320"/>
      <c r="I320"/>
      <c r="J320"/>
      <c r="K320"/>
      <c r="N320"/>
      <c r="O320"/>
      <c r="P320"/>
      <c r="Q320"/>
    </row>
    <row r="321" customHeight="1" spans="8:17">
      <c r="H321"/>
      <c r="I321"/>
      <c r="J321"/>
      <c r="K321"/>
      <c r="N321"/>
      <c r="O321"/>
      <c r="P321"/>
      <c r="Q321"/>
    </row>
    <row r="322" customHeight="1" spans="8:17">
      <c r="H322"/>
      <c r="I322"/>
      <c r="J322"/>
      <c r="K322"/>
      <c r="N322"/>
      <c r="O322"/>
      <c r="P322"/>
      <c r="Q322"/>
    </row>
    <row r="323" customHeight="1" spans="8:17">
      <c r="H323"/>
      <c r="I323"/>
      <c r="J323"/>
      <c r="K323"/>
      <c r="N323"/>
      <c r="O323"/>
      <c r="P323"/>
      <c r="Q323"/>
    </row>
    <row r="324" customHeight="1" spans="8:17">
      <c r="H324"/>
      <c r="I324"/>
      <c r="J324"/>
      <c r="K324"/>
      <c r="N324"/>
      <c r="O324"/>
      <c r="P324"/>
      <c r="Q324"/>
    </row>
    <row r="325" customHeight="1" spans="8:17">
      <c r="H325"/>
      <c r="I325"/>
      <c r="J325"/>
      <c r="K325"/>
      <c r="N325"/>
      <c r="O325"/>
      <c r="P325"/>
      <c r="Q325"/>
    </row>
    <row r="326" customHeight="1" spans="8:17">
      <c r="H326"/>
      <c r="I326"/>
      <c r="J326"/>
      <c r="K326"/>
      <c r="N326"/>
      <c r="O326"/>
      <c r="P326"/>
      <c r="Q326"/>
    </row>
    <row r="327" customHeight="1" spans="8:17">
      <c r="H327"/>
      <c r="I327"/>
      <c r="J327"/>
      <c r="K327"/>
      <c r="N327"/>
      <c r="O327"/>
      <c r="P327"/>
      <c r="Q327"/>
    </row>
    <row r="328" customHeight="1" spans="8:17">
      <c r="H328"/>
      <c r="I328"/>
      <c r="J328"/>
      <c r="K328"/>
      <c r="N328"/>
      <c r="O328"/>
      <c r="P328"/>
      <c r="Q328"/>
    </row>
    <row r="329" customHeight="1" spans="8:17">
      <c r="H329"/>
      <c r="I329"/>
      <c r="J329"/>
      <c r="K329"/>
      <c r="N329"/>
      <c r="O329"/>
      <c r="P329"/>
      <c r="Q329"/>
    </row>
    <row r="330" customHeight="1" spans="8:17">
      <c r="H330"/>
      <c r="I330"/>
      <c r="J330"/>
      <c r="K330"/>
      <c r="N330"/>
      <c r="O330"/>
      <c r="P330"/>
      <c r="Q330"/>
    </row>
    <row r="331" customHeight="1" spans="8:17">
      <c r="H331"/>
      <c r="I331"/>
      <c r="J331"/>
      <c r="K331"/>
      <c r="N331"/>
      <c r="O331"/>
      <c r="P331"/>
      <c r="Q331"/>
    </row>
    <row r="332" customHeight="1" spans="8:17">
      <c r="H332"/>
      <c r="I332"/>
      <c r="J332"/>
      <c r="K332"/>
      <c r="N332"/>
      <c r="O332"/>
      <c r="P332"/>
      <c r="Q332"/>
    </row>
    <row r="333" customHeight="1" spans="8:17">
      <c r="H333"/>
      <c r="I333"/>
      <c r="J333"/>
      <c r="K333"/>
      <c r="N333"/>
      <c r="O333"/>
      <c r="P333"/>
      <c r="Q333"/>
    </row>
    <row r="334" customHeight="1" spans="8:17">
      <c r="H334"/>
      <c r="I334"/>
      <c r="J334"/>
      <c r="K334"/>
      <c r="N334"/>
      <c r="O334"/>
      <c r="P334"/>
      <c r="Q334"/>
    </row>
    <row r="335" customHeight="1" spans="8:17">
      <c r="H335"/>
      <c r="I335"/>
      <c r="J335"/>
      <c r="K335"/>
      <c r="N335"/>
      <c r="O335"/>
      <c r="P335"/>
      <c r="Q335"/>
    </row>
    <row r="336" customHeight="1" spans="8:17">
      <c r="H336"/>
      <c r="I336"/>
      <c r="J336"/>
      <c r="K336"/>
      <c r="N336"/>
      <c r="O336"/>
      <c r="P336"/>
      <c r="Q336"/>
    </row>
    <row r="337" customHeight="1" spans="8:17">
      <c r="H337"/>
      <c r="I337"/>
      <c r="J337"/>
      <c r="K337"/>
      <c r="N337"/>
      <c r="O337"/>
      <c r="P337"/>
      <c r="Q337"/>
    </row>
    <row r="338" customHeight="1" spans="8:17">
      <c r="N338"/>
      <c r="O338"/>
      <c r="P338"/>
      <c r="Q338"/>
    </row>
    <row r="339" customHeight="1" spans="8:17">
      <c r="N339"/>
      <c r="O339"/>
      <c r="P339"/>
      <c r="Q339"/>
    </row>
    <row r="340" customHeight="1" spans="8:17">
      <c r="N340"/>
      <c r="O340"/>
      <c r="P340"/>
      <c r="Q340"/>
    </row>
    <row r="341" customHeight="1" spans="8:17">
      <c r="N341"/>
      <c r="O341"/>
      <c r="P341"/>
      <c r="Q341"/>
    </row>
    <row r="342" customHeight="1" spans="8:17">
      <c r="N342"/>
      <c r="O342"/>
      <c r="P342"/>
      <c r="Q342"/>
    </row>
    <row r="343" customHeight="1" spans="8:17">
      <c r="N343"/>
      <c r="O343"/>
      <c r="P343"/>
      <c r="Q343"/>
    </row>
    <row r="344" customHeight="1" spans="8:17">
      <c r="N344"/>
      <c r="O344"/>
      <c r="P344"/>
      <c r="Q344"/>
    </row>
    <row r="345" customHeight="1" spans="8:17">
      <c r="N345"/>
      <c r="O345"/>
      <c r="P345"/>
      <c r="Q345"/>
    </row>
    <row r="346" customHeight="1" spans="8:17">
      <c r="N346"/>
      <c r="O346"/>
      <c r="P346"/>
      <c r="Q346"/>
    </row>
    <row r="347" customHeight="1" spans="8:17">
      <c r="N347"/>
      <c r="O347"/>
      <c r="P347"/>
      <c r="Q347"/>
    </row>
    <row r="348" customHeight="1" spans="8:17">
      <c r="N348"/>
      <c r="O348"/>
      <c r="P348"/>
      <c r="Q348"/>
    </row>
    <row r="349" customHeight="1" spans="8:17">
      <c r="N349"/>
      <c r="O349"/>
      <c r="P349"/>
      <c r="Q349"/>
    </row>
    <row r="350" customHeight="1" spans="8:17">
      <c r="N350"/>
      <c r="O350"/>
      <c r="P350"/>
      <c r="Q350"/>
    </row>
    <row r="351" customHeight="1" spans="8:17">
      <c r="N351"/>
      <c r="O351"/>
      <c r="P351"/>
      <c r="Q351"/>
    </row>
    <row r="352" customHeight="1" spans="8:17">
      <c r="N352"/>
      <c r="O352"/>
      <c r="P352"/>
      <c r="Q352"/>
    </row>
    <row r="353" customHeight="1" spans="14:17">
      <c r="N353"/>
      <c r="O353"/>
      <c r="P353"/>
      <c r="Q353"/>
    </row>
    <row r="354" customHeight="1" spans="14:17">
      <c r="N354"/>
      <c r="O354"/>
      <c r="P354"/>
      <c r="Q354"/>
    </row>
    <row r="355" customHeight="1" spans="14:17">
      <c r="N355"/>
      <c r="O355"/>
      <c r="P355"/>
      <c r="Q355"/>
    </row>
    <row r="356" customHeight="1" spans="14:17">
      <c r="N356"/>
      <c r="O356"/>
      <c r="P356"/>
      <c r="Q356"/>
    </row>
    <row r="357" customHeight="1" spans="14:17">
      <c r="N357"/>
      <c r="O357"/>
      <c r="P357"/>
      <c r="Q357"/>
    </row>
    <row r="358" customHeight="1" spans="14:17">
      <c r="N358"/>
      <c r="O358"/>
      <c r="P358"/>
      <c r="Q358"/>
    </row>
    <row r="359" customHeight="1" spans="14:17">
      <c r="N359"/>
      <c r="O359"/>
      <c r="P359"/>
      <c r="Q359"/>
    </row>
    <row r="360" customHeight="1" spans="14:17">
      <c r="N360"/>
      <c r="O360"/>
      <c r="P360"/>
      <c r="Q360"/>
    </row>
    <row r="361" customHeight="1" spans="14:17">
      <c r="N361"/>
      <c r="O361"/>
      <c r="P361"/>
      <c r="Q361"/>
    </row>
    <row r="362" customHeight="1" spans="14:17">
      <c r="N362"/>
      <c r="O362"/>
      <c r="P362"/>
      <c r="Q362"/>
    </row>
    <row r="363" customHeight="1" spans="14:17">
      <c r="N363"/>
      <c r="O363"/>
      <c r="P363"/>
      <c r="Q363"/>
    </row>
    <row r="364" customHeight="1" spans="14:17">
      <c r="N364"/>
      <c r="O364"/>
      <c r="P364"/>
      <c r="Q364"/>
    </row>
    <row r="365" customHeight="1" spans="14:17">
      <c r="N365"/>
      <c r="O365"/>
      <c r="P365"/>
      <c r="Q365"/>
    </row>
    <row r="366" customHeight="1" spans="14:17">
      <c r="N366"/>
      <c r="O366"/>
      <c r="P366"/>
      <c r="Q366"/>
    </row>
    <row r="367" customHeight="1" spans="14:17">
      <c r="N367"/>
      <c r="O367"/>
      <c r="P367"/>
      <c r="Q367"/>
    </row>
    <row r="368" customHeight="1" spans="14:17">
      <c r="N368"/>
      <c r="O368"/>
      <c r="P368"/>
      <c r="Q368"/>
    </row>
    <row r="369" customHeight="1" spans="14:17">
      <c r="N369"/>
      <c r="O369"/>
      <c r="P369"/>
      <c r="Q369"/>
    </row>
    <row r="370" customHeight="1" spans="14:17">
      <c r="N370"/>
      <c r="O370"/>
      <c r="P370"/>
      <c r="Q370"/>
    </row>
    <row r="371" customHeight="1" spans="14:17">
      <c r="N371"/>
      <c r="O371"/>
      <c r="P371"/>
      <c r="Q371"/>
    </row>
    <row r="372" customHeight="1" spans="14:17">
      <c r="N372"/>
      <c r="O372"/>
      <c r="P372"/>
      <c r="Q372"/>
    </row>
    <row r="373" customHeight="1" spans="14:17">
      <c r="N373"/>
      <c r="O373"/>
      <c r="P373"/>
      <c r="Q373"/>
    </row>
    <row r="374" customHeight="1" spans="14:17">
      <c r="N374"/>
      <c r="O374"/>
      <c r="P374"/>
      <c r="Q374"/>
    </row>
    <row r="375" customHeight="1" spans="14:17">
      <c r="N375"/>
      <c r="O375"/>
      <c r="P375"/>
      <c r="Q375"/>
    </row>
    <row r="376" customHeight="1" spans="14:17">
      <c r="N376"/>
      <c r="O376"/>
      <c r="P376"/>
      <c r="Q376"/>
    </row>
    <row r="377" customHeight="1" spans="14:17">
      <c r="N377"/>
      <c r="O377"/>
      <c r="P377"/>
      <c r="Q377"/>
    </row>
    <row r="378" customHeight="1" spans="14:17">
      <c r="N378"/>
      <c r="O378"/>
      <c r="P378"/>
      <c r="Q378"/>
    </row>
    <row r="379" customHeight="1" spans="14:17">
      <c r="N379"/>
      <c r="O379"/>
      <c r="P379"/>
      <c r="Q379"/>
    </row>
    <row r="380" customHeight="1" spans="14:17">
      <c r="N380"/>
      <c r="O380"/>
      <c r="P380"/>
      <c r="Q380"/>
    </row>
    <row r="381" customHeight="1" spans="14:17">
      <c r="N381"/>
      <c r="O381"/>
      <c r="P381"/>
      <c r="Q381"/>
    </row>
    <row r="382" customHeight="1" spans="14:17">
      <c r="N382"/>
      <c r="O382"/>
      <c r="P382"/>
      <c r="Q382"/>
    </row>
    <row r="383" customHeight="1" spans="14:17">
      <c r="N383"/>
      <c r="O383"/>
      <c r="P383"/>
      <c r="Q383"/>
    </row>
    <row r="384" customHeight="1" spans="14:17">
      <c r="N384"/>
      <c r="O384"/>
      <c r="P384"/>
      <c r="Q384"/>
    </row>
    <row r="385" customHeight="1" spans="14:17">
      <c r="N385"/>
      <c r="O385"/>
      <c r="P385"/>
      <c r="Q385"/>
    </row>
    <row r="386" customHeight="1" spans="14:17">
      <c r="N386"/>
      <c r="O386"/>
      <c r="P386"/>
      <c r="Q386"/>
    </row>
    <row r="387" customHeight="1" spans="14:17">
      <c r="N387"/>
      <c r="O387"/>
      <c r="P387"/>
      <c r="Q387"/>
    </row>
    <row r="388" customHeight="1" spans="14:17">
      <c r="N388"/>
      <c r="O388"/>
      <c r="P388"/>
      <c r="Q388"/>
    </row>
    <row r="389" customHeight="1" spans="14:17">
      <c r="N389"/>
      <c r="O389"/>
      <c r="P389"/>
      <c r="Q389"/>
    </row>
    <row r="390" customHeight="1" spans="14:17">
      <c r="N390"/>
      <c r="O390"/>
      <c r="P390"/>
      <c r="Q390"/>
    </row>
    <row r="391" customHeight="1" spans="14:17">
      <c r="N391"/>
      <c r="O391"/>
      <c r="P391"/>
      <c r="Q391"/>
    </row>
    <row r="392" customHeight="1" spans="14:17">
      <c r="N392"/>
      <c r="O392"/>
      <c r="P392"/>
      <c r="Q392"/>
    </row>
    <row r="393" customHeight="1" spans="14:17">
      <c r="N393"/>
      <c r="O393"/>
      <c r="P393"/>
      <c r="Q393"/>
    </row>
    <row r="394" customHeight="1" spans="14:17">
      <c r="N394"/>
      <c r="O394"/>
      <c r="P394"/>
      <c r="Q394"/>
    </row>
    <row r="395" customHeight="1" spans="14:17">
      <c r="N395"/>
      <c r="O395"/>
      <c r="P395"/>
      <c r="Q395"/>
    </row>
    <row r="396" customHeight="1" spans="14:17">
      <c r="N396"/>
      <c r="O396"/>
      <c r="P396"/>
      <c r="Q396"/>
    </row>
    <row r="397" customHeight="1" spans="14:17">
      <c r="N397"/>
      <c r="O397"/>
      <c r="P397"/>
      <c r="Q397"/>
    </row>
    <row r="398" customHeight="1" spans="14:17">
      <c r="N398"/>
      <c r="O398"/>
      <c r="P398"/>
      <c r="Q398"/>
    </row>
    <row r="399" customHeight="1" spans="14:17">
      <c r="N399"/>
      <c r="O399"/>
      <c r="P399"/>
      <c r="Q399"/>
    </row>
    <row r="400" customHeight="1" spans="14:17">
      <c r="N400"/>
      <c r="O400"/>
      <c r="P400"/>
      <c r="Q400"/>
    </row>
    <row r="401" customHeight="1" spans="14:17">
      <c r="N401"/>
      <c r="O401"/>
      <c r="P401"/>
      <c r="Q401"/>
    </row>
    <row r="402" customHeight="1" spans="14:17">
      <c r="N402"/>
      <c r="O402"/>
      <c r="P402"/>
      <c r="Q402"/>
    </row>
    <row r="403" customHeight="1" spans="14:17">
      <c r="N403"/>
      <c r="O403"/>
      <c r="P403"/>
      <c r="Q403"/>
    </row>
    <row r="404" customHeight="1" spans="14:17">
      <c r="N404"/>
      <c r="O404"/>
      <c r="P404"/>
      <c r="Q404"/>
    </row>
    <row r="405" customHeight="1" spans="14:17">
      <c r="N405"/>
      <c r="O405"/>
      <c r="P405"/>
      <c r="Q405"/>
    </row>
    <row r="406" customHeight="1" spans="14:17">
      <c r="N406"/>
      <c r="O406"/>
      <c r="P406"/>
      <c r="Q406"/>
    </row>
    <row r="407" customHeight="1" spans="14:17">
      <c r="N407"/>
      <c r="O407"/>
      <c r="P407"/>
      <c r="Q407"/>
    </row>
    <row r="408" customHeight="1" spans="14:17">
      <c r="N408"/>
      <c r="O408"/>
      <c r="P408"/>
      <c r="Q408"/>
    </row>
    <row r="409" customHeight="1" spans="14:17">
      <c r="N409"/>
      <c r="O409"/>
      <c r="P409"/>
      <c r="Q409"/>
    </row>
    <row r="410" customHeight="1" spans="14:17">
      <c r="N410"/>
      <c r="O410"/>
      <c r="P410"/>
      <c r="Q410"/>
    </row>
    <row r="411" customHeight="1" spans="14:17">
      <c r="N411"/>
      <c r="O411"/>
      <c r="P411"/>
      <c r="Q411"/>
    </row>
    <row r="412" customHeight="1" spans="14:17">
      <c r="N412"/>
      <c r="O412"/>
      <c r="P412"/>
      <c r="Q412"/>
    </row>
    <row r="413" customHeight="1" spans="14:17">
      <c r="N413"/>
      <c r="O413"/>
      <c r="P413"/>
      <c r="Q413"/>
    </row>
    <row r="414" customHeight="1" spans="14:17">
      <c r="N414"/>
      <c r="O414"/>
      <c r="P414"/>
      <c r="Q414"/>
    </row>
    <row r="415" customHeight="1" spans="14:17">
      <c r="N415"/>
      <c r="O415"/>
      <c r="P415"/>
      <c r="Q415"/>
    </row>
    <row r="416" customHeight="1" spans="14:17">
      <c r="N416"/>
      <c r="O416"/>
      <c r="P416"/>
      <c r="Q416"/>
    </row>
    <row r="417" customHeight="1" spans="14:17">
      <c r="N417"/>
      <c r="O417"/>
      <c r="P417"/>
      <c r="Q417"/>
    </row>
    <row r="418" customHeight="1" spans="14:17">
      <c r="N418"/>
      <c r="O418"/>
      <c r="P418"/>
      <c r="Q418"/>
    </row>
    <row r="419" customHeight="1" spans="14:17">
      <c r="N419"/>
      <c r="O419"/>
      <c r="P419"/>
      <c r="Q419"/>
    </row>
    <row r="420" customHeight="1" spans="14:17">
      <c r="N420"/>
      <c r="O420"/>
      <c r="P420"/>
      <c r="Q420"/>
    </row>
    <row r="421" customHeight="1" spans="14:17">
      <c r="N421"/>
      <c r="O421"/>
      <c r="P421"/>
      <c r="Q421"/>
    </row>
    <row r="422" customHeight="1" spans="14:17">
      <c r="N422"/>
      <c r="O422"/>
      <c r="P422"/>
      <c r="Q422"/>
    </row>
    <row r="423" customHeight="1" spans="14:17">
      <c r="N423"/>
      <c r="O423"/>
      <c r="P423"/>
      <c r="Q423"/>
    </row>
    <row r="424" customHeight="1" spans="14:17">
      <c r="N424"/>
      <c r="O424"/>
      <c r="P424"/>
      <c r="Q424"/>
    </row>
    <row r="425" customHeight="1" spans="14:17">
      <c r="N425"/>
      <c r="O425"/>
      <c r="P425"/>
      <c r="Q425"/>
    </row>
    <row r="426" customHeight="1" spans="14:17">
      <c r="N426"/>
      <c r="O426"/>
      <c r="P426"/>
      <c r="Q426"/>
    </row>
    <row r="427" customHeight="1" spans="14:17">
      <c r="N427"/>
      <c r="O427"/>
      <c r="P427"/>
      <c r="Q427"/>
    </row>
    <row r="428" customHeight="1" spans="14:17">
      <c r="N428"/>
      <c r="O428"/>
      <c r="P428"/>
      <c r="Q428"/>
    </row>
    <row r="429" customHeight="1" spans="14:17">
      <c r="N429"/>
      <c r="O429"/>
      <c r="P429"/>
      <c r="Q429"/>
    </row>
    <row r="430" customHeight="1" spans="14:17">
      <c r="N430"/>
      <c r="O430"/>
      <c r="P430"/>
      <c r="Q430"/>
    </row>
    <row r="431" customHeight="1" spans="14:17">
      <c r="N431"/>
      <c r="O431"/>
      <c r="P431"/>
      <c r="Q431"/>
    </row>
    <row r="432" customHeight="1" spans="14:17">
      <c r="N432"/>
      <c r="O432"/>
      <c r="P432"/>
      <c r="Q432"/>
    </row>
    <row r="433" customHeight="1" spans="14:17">
      <c r="N433"/>
      <c r="O433"/>
      <c r="P433"/>
      <c r="Q433"/>
    </row>
    <row r="434" customHeight="1" spans="14:17">
      <c r="N434"/>
      <c r="O434"/>
      <c r="P434"/>
      <c r="Q434"/>
    </row>
    <row r="435" customHeight="1" spans="14:17">
      <c r="N435"/>
      <c r="O435"/>
      <c r="P435"/>
      <c r="Q435"/>
    </row>
    <row r="436" customHeight="1" spans="14:17">
      <c r="N436"/>
      <c r="O436"/>
      <c r="P436"/>
      <c r="Q436"/>
    </row>
    <row r="437" customHeight="1" spans="14:17">
      <c r="N437"/>
      <c r="O437"/>
      <c r="P437"/>
      <c r="Q437"/>
    </row>
    <row r="438" customHeight="1" spans="14:17">
      <c r="N438"/>
      <c r="O438"/>
      <c r="P438"/>
      <c r="Q438"/>
    </row>
    <row r="439" customHeight="1" spans="14:17">
      <c r="N439"/>
      <c r="O439"/>
      <c r="P439"/>
      <c r="Q439"/>
    </row>
    <row r="440" customHeight="1" spans="14:17">
      <c r="N440"/>
      <c r="O440"/>
      <c r="P440"/>
      <c r="Q440"/>
    </row>
    <row r="441" customHeight="1" spans="14:17">
      <c r="N441"/>
      <c r="O441"/>
      <c r="P441"/>
      <c r="Q441"/>
    </row>
    <row r="442" customHeight="1" spans="14:17">
      <c r="N442"/>
      <c r="O442"/>
      <c r="P442"/>
      <c r="Q442"/>
    </row>
    <row r="443" customHeight="1" spans="14:17">
      <c r="N443"/>
      <c r="O443"/>
      <c r="P443"/>
      <c r="Q443"/>
    </row>
    <row r="444" customHeight="1" spans="14:17">
      <c r="N444"/>
      <c r="O444"/>
      <c r="P444"/>
      <c r="Q444"/>
    </row>
    <row r="445" customHeight="1" spans="14:17">
      <c r="N445"/>
      <c r="O445"/>
      <c r="P445"/>
      <c r="Q445"/>
    </row>
    <row r="446" customHeight="1" spans="14:17">
      <c r="N446"/>
      <c r="O446"/>
      <c r="P446"/>
      <c r="Q446"/>
    </row>
    <row r="447" customHeight="1" spans="14:17">
      <c r="N447"/>
      <c r="O447"/>
      <c r="P447"/>
      <c r="Q447"/>
    </row>
    <row r="448" customHeight="1" spans="14:17">
      <c r="N448"/>
      <c r="O448"/>
      <c r="P448"/>
      <c r="Q448"/>
    </row>
    <row r="449" customHeight="1" spans="14:17">
      <c r="N449"/>
      <c r="O449"/>
      <c r="P449"/>
      <c r="Q449"/>
    </row>
    <row r="450" customHeight="1" spans="14:17">
      <c r="N450"/>
      <c r="O450"/>
      <c r="P450"/>
      <c r="Q450"/>
    </row>
    <row r="451" customHeight="1" spans="14:17">
      <c r="N451"/>
      <c r="O451"/>
      <c r="P451"/>
      <c r="Q451"/>
    </row>
    <row r="452" customHeight="1" spans="14:17">
      <c r="N452"/>
      <c r="O452"/>
      <c r="P452"/>
      <c r="Q452"/>
    </row>
    <row r="453" customHeight="1" spans="14:17">
      <c r="N453"/>
      <c r="O453"/>
      <c r="P453"/>
      <c r="Q453"/>
    </row>
    <row r="454" customHeight="1" spans="14:17">
      <c r="N454"/>
      <c r="O454"/>
      <c r="P454"/>
      <c r="Q454"/>
    </row>
    <row r="455" customHeight="1" spans="14:17">
      <c r="N455"/>
      <c r="O455"/>
      <c r="P455"/>
      <c r="Q455"/>
    </row>
    <row r="456" customHeight="1" spans="14:17">
      <c r="N456"/>
      <c r="O456"/>
      <c r="P456"/>
      <c r="Q456"/>
    </row>
    <row r="457" customHeight="1" spans="14:17">
      <c r="N457"/>
      <c r="O457"/>
      <c r="P457"/>
      <c r="Q457"/>
    </row>
    <row r="458" customHeight="1" spans="14:17">
      <c r="N458"/>
      <c r="O458"/>
      <c r="P458"/>
      <c r="Q458"/>
    </row>
    <row r="459" customHeight="1" spans="14:17">
      <c r="N459"/>
      <c r="O459"/>
      <c r="P459"/>
      <c r="Q459"/>
    </row>
    <row r="460" customHeight="1" spans="14:17">
      <c r="N460"/>
      <c r="O460"/>
      <c r="P460"/>
      <c r="Q460"/>
    </row>
    <row r="461" customHeight="1" spans="14:17">
      <c r="N461"/>
      <c r="O461"/>
      <c r="P461"/>
      <c r="Q461"/>
    </row>
    <row r="462" customHeight="1" spans="14:17">
      <c r="N462"/>
      <c r="O462"/>
      <c r="P462"/>
      <c r="Q462"/>
    </row>
    <row r="463" customHeight="1" spans="14:17">
      <c r="N463"/>
      <c r="O463"/>
      <c r="P463"/>
      <c r="Q463"/>
    </row>
    <row r="464" customHeight="1" spans="14:17">
      <c r="N464"/>
      <c r="O464"/>
      <c r="P464"/>
      <c r="Q464"/>
    </row>
    <row r="465" customHeight="1" spans="14:17">
      <c r="N465"/>
      <c r="O465"/>
      <c r="P465"/>
      <c r="Q465"/>
    </row>
    <row r="466" customHeight="1" spans="14:17">
      <c r="N466"/>
      <c r="O466"/>
      <c r="P466"/>
      <c r="Q466"/>
    </row>
    <row r="467" customHeight="1" spans="14:17">
      <c r="N467"/>
      <c r="O467"/>
      <c r="P467"/>
      <c r="Q467"/>
    </row>
    <row r="468" customHeight="1" spans="14:17">
      <c r="N468"/>
      <c r="O468"/>
      <c r="P468"/>
      <c r="Q468"/>
    </row>
    <row r="469" customHeight="1" spans="14:17">
      <c r="N469"/>
      <c r="O469"/>
      <c r="P469"/>
      <c r="Q469"/>
    </row>
    <row r="470" customHeight="1" spans="14:17">
      <c r="N470"/>
      <c r="O470"/>
      <c r="P470"/>
      <c r="Q470"/>
    </row>
    <row r="471" customHeight="1" spans="14:17">
      <c r="N471"/>
      <c r="O471"/>
      <c r="P471"/>
      <c r="Q471"/>
    </row>
    <row r="472" customHeight="1" spans="14:17">
      <c r="N472"/>
      <c r="O472"/>
      <c r="P472"/>
      <c r="Q472"/>
    </row>
    <row r="473" customHeight="1" spans="14:17">
      <c r="N473"/>
      <c r="O473"/>
      <c r="P473"/>
      <c r="Q473"/>
    </row>
    <row r="474" customHeight="1" spans="14:17">
      <c r="N474"/>
      <c r="O474"/>
      <c r="P474"/>
      <c r="Q474"/>
    </row>
    <row r="475" customHeight="1" spans="14:17">
      <c r="N475"/>
      <c r="O475"/>
      <c r="P475"/>
      <c r="Q475"/>
    </row>
    <row r="476" customHeight="1" spans="14:17">
      <c r="N476"/>
      <c r="O476"/>
      <c r="P476"/>
      <c r="Q476"/>
    </row>
    <row r="477" customHeight="1" spans="14:17">
      <c r="N477"/>
      <c r="O477"/>
      <c r="P477"/>
      <c r="Q477"/>
    </row>
    <row r="478" customHeight="1" spans="14:17">
      <c r="N478"/>
      <c r="O478"/>
      <c r="P478"/>
      <c r="Q478"/>
    </row>
    <row r="479" customHeight="1" spans="14:17">
      <c r="N479"/>
      <c r="O479"/>
      <c r="P479"/>
      <c r="Q479"/>
    </row>
    <row r="480" customHeight="1" spans="14:17">
      <c r="N480"/>
      <c r="O480"/>
      <c r="P480"/>
      <c r="Q480"/>
    </row>
    <row r="481" customHeight="1" spans="14:17">
      <c r="N481"/>
      <c r="O481"/>
      <c r="P481"/>
      <c r="Q481"/>
    </row>
    <row r="482" customHeight="1" spans="14:17">
      <c r="N482"/>
      <c r="O482"/>
      <c r="P482"/>
      <c r="Q482"/>
    </row>
    <row r="483" customHeight="1" spans="14:17">
      <c r="N483"/>
      <c r="O483"/>
      <c r="P483"/>
      <c r="Q483"/>
    </row>
    <row r="484" customHeight="1" spans="14:17">
      <c r="N484"/>
      <c r="O484"/>
      <c r="P484"/>
      <c r="Q484"/>
    </row>
    <row r="485" customHeight="1" spans="14:17">
      <c r="N485"/>
      <c r="O485"/>
      <c r="P485"/>
      <c r="Q485"/>
    </row>
    <row r="486" customHeight="1" spans="14:17">
      <c r="N486"/>
      <c r="O486"/>
      <c r="P486"/>
      <c r="Q486"/>
    </row>
    <row r="487" customHeight="1" spans="14:17">
      <c r="N487"/>
      <c r="O487"/>
      <c r="P487"/>
      <c r="Q487"/>
    </row>
    <row r="488" customHeight="1" spans="14:17">
      <c r="N488"/>
      <c r="O488"/>
      <c r="P488"/>
      <c r="Q488"/>
    </row>
    <row r="489" customHeight="1" spans="14:17">
      <c r="N489"/>
      <c r="O489"/>
      <c r="P489"/>
      <c r="Q489"/>
    </row>
    <row r="490" customHeight="1" spans="14:17">
      <c r="N490"/>
      <c r="O490"/>
      <c r="P490"/>
      <c r="Q490"/>
    </row>
    <row r="491" customHeight="1" spans="14:17">
      <c r="N491"/>
      <c r="O491"/>
      <c r="P491"/>
      <c r="Q491"/>
    </row>
    <row r="492" customHeight="1" spans="14:17">
      <c r="N492"/>
      <c r="O492"/>
      <c r="P492"/>
      <c r="Q492"/>
    </row>
    <row r="493" customHeight="1" spans="14:17">
      <c r="N493"/>
      <c r="O493"/>
      <c r="P493"/>
      <c r="Q493"/>
    </row>
    <row r="494" customHeight="1" spans="14:17">
      <c r="N494"/>
      <c r="O494"/>
      <c r="P494"/>
      <c r="Q494"/>
    </row>
    <row r="495" customHeight="1" spans="14:17">
      <c r="N495"/>
      <c r="O495"/>
      <c r="P495"/>
      <c r="Q495"/>
    </row>
    <row r="496" customHeight="1" spans="14:17">
      <c r="N496"/>
      <c r="O496"/>
      <c r="P496"/>
      <c r="Q496"/>
    </row>
    <row r="497" customHeight="1" spans="14:17">
      <c r="N497"/>
      <c r="O497"/>
      <c r="P497"/>
      <c r="Q497"/>
    </row>
    <row r="498" customHeight="1" spans="14:17">
      <c r="N498"/>
      <c r="O498"/>
      <c r="P498"/>
      <c r="Q498"/>
    </row>
    <row r="499" customHeight="1" spans="14:17">
      <c r="N499"/>
      <c r="O499"/>
      <c r="P499"/>
      <c r="Q499"/>
    </row>
    <row r="500" customHeight="1" spans="14:17">
      <c r="N500"/>
      <c r="O500"/>
      <c r="P500"/>
      <c r="Q500"/>
    </row>
    <row r="501" customHeight="1" spans="14:17">
      <c r="N501"/>
      <c r="O501"/>
      <c r="P501"/>
      <c r="Q501"/>
    </row>
    <row r="502" customHeight="1" spans="14:17">
      <c r="N502"/>
      <c r="O502"/>
      <c r="P502"/>
      <c r="Q502"/>
    </row>
    <row r="503" customHeight="1" spans="14:17">
      <c r="N503"/>
      <c r="O503"/>
      <c r="P503"/>
      <c r="Q503"/>
    </row>
    <row r="504" customHeight="1" spans="14:17">
      <c r="N504"/>
      <c r="O504"/>
      <c r="P504"/>
      <c r="Q504"/>
    </row>
    <row r="505" customHeight="1" spans="14:17">
      <c r="N505"/>
      <c r="O505"/>
      <c r="P505"/>
      <c r="Q505"/>
    </row>
    <row r="506" customHeight="1" spans="14:17">
      <c r="N506"/>
      <c r="O506"/>
      <c r="P506"/>
      <c r="Q506"/>
    </row>
    <row r="507" customHeight="1" spans="14:17">
      <c r="N507"/>
      <c r="O507"/>
      <c r="P507"/>
      <c r="Q507"/>
    </row>
    <row r="508" customHeight="1" spans="14:17">
      <c r="N508"/>
      <c r="O508"/>
      <c r="P508"/>
      <c r="Q508"/>
    </row>
    <row r="509" customHeight="1" spans="14:17">
      <c r="N509"/>
      <c r="O509"/>
      <c r="P509"/>
      <c r="Q509"/>
    </row>
    <row r="510" customHeight="1" spans="14:17">
      <c r="N510"/>
      <c r="O510"/>
      <c r="P510"/>
      <c r="Q510"/>
    </row>
    <row r="511" customHeight="1" spans="14:17">
      <c r="N511"/>
      <c r="O511"/>
      <c r="P511"/>
      <c r="Q511"/>
    </row>
    <row r="512" customHeight="1" spans="14:17">
      <c r="N512"/>
      <c r="O512"/>
      <c r="P512"/>
      <c r="Q512"/>
    </row>
    <row r="513" customHeight="1" spans="14:17">
      <c r="N513"/>
      <c r="O513"/>
      <c r="P513"/>
      <c r="Q513"/>
    </row>
    <row r="514" customHeight="1" spans="14:17">
      <c r="N514"/>
      <c r="O514"/>
      <c r="P514"/>
      <c r="Q514"/>
    </row>
    <row r="515" customHeight="1" spans="14:17">
      <c r="N515"/>
      <c r="O515"/>
      <c r="P515"/>
      <c r="Q515"/>
    </row>
    <row r="516" customHeight="1" spans="14:17">
      <c r="N516"/>
      <c r="O516"/>
      <c r="P516"/>
      <c r="Q516"/>
    </row>
    <row r="517" customHeight="1" spans="14:17">
      <c r="N517"/>
      <c r="O517"/>
      <c r="P517"/>
      <c r="Q517"/>
    </row>
    <row r="518" customHeight="1" spans="14:17">
      <c r="N518"/>
      <c r="O518"/>
      <c r="P518"/>
      <c r="Q518"/>
    </row>
    <row r="519" customHeight="1" spans="14:17">
      <c r="N519"/>
      <c r="O519"/>
      <c r="P519"/>
      <c r="Q519"/>
    </row>
    <row r="520" customHeight="1" spans="14:17">
      <c r="N520"/>
      <c r="O520"/>
      <c r="P520"/>
      <c r="Q520"/>
    </row>
    <row r="521" customHeight="1" spans="14:17">
      <c r="N521"/>
      <c r="O521"/>
      <c r="P521"/>
      <c r="Q521"/>
    </row>
    <row r="522" customHeight="1" spans="14:17">
      <c r="N522"/>
      <c r="O522"/>
      <c r="P522"/>
      <c r="Q522"/>
    </row>
    <row r="523" customHeight="1" spans="14:17">
      <c r="N523"/>
      <c r="O523"/>
      <c r="P523"/>
      <c r="Q523"/>
    </row>
    <row r="524" customHeight="1" spans="14:17">
      <c r="N524"/>
      <c r="O524"/>
      <c r="P524"/>
      <c r="Q524"/>
    </row>
    <row r="525" customHeight="1" spans="14:17">
      <c r="N525"/>
      <c r="O525"/>
      <c r="P525"/>
      <c r="Q525"/>
    </row>
    <row r="526" customHeight="1" spans="14:17">
      <c r="N526"/>
      <c r="O526"/>
      <c r="P526"/>
      <c r="Q526"/>
    </row>
    <row r="527" customHeight="1" spans="14:17">
      <c r="N527"/>
      <c r="O527"/>
      <c r="P527"/>
      <c r="Q527"/>
    </row>
    <row r="528" customHeight="1" spans="14:17">
      <c r="N528"/>
      <c r="O528"/>
      <c r="P528"/>
      <c r="Q528"/>
    </row>
    <row r="529" customHeight="1" spans="14:17">
      <c r="N529"/>
      <c r="O529"/>
      <c r="P529"/>
      <c r="Q529"/>
    </row>
    <row r="530" customHeight="1" spans="14:17">
      <c r="N530"/>
      <c r="O530"/>
      <c r="P530"/>
      <c r="Q530"/>
    </row>
    <row r="531" customHeight="1" spans="14:17">
      <c r="N531"/>
      <c r="O531"/>
      <c r="P531"/>
      <c r="Q531"/>
    </row>
    <row r="532" customHeight="1" spans="14:17">
      <c r="N532"/>
      <c r="O532"/>
      <c r="P532"/>
      <c r="Q532"/>
    </row>
    <row r="533" customHeight="1" spans="14:17">
      <c r="N533"/>
      <c r="O533"/>
      <c r="P533"/>
      <c r="Q533"/>
    </row>
    <row r="534" customHeight="1" spans="14:17">
      <c r="N534"/>
      <c r="O534"/>
      <c r="P534"/>
      <c r="Q534"/>
    </row>
    <row r="535" customHeight="1" spans="14:17">
      <c r="N535"/>
      <c r="O535"/>
      <c r="P535"/>
      <c r="Q535"/>
    </row>
    <row r="536" customHeight="1" spans="14:17">
      <c r="N536"/>
      <c r="O536"/>
      <c r="P536"/>
      <c r="Q536"/>
    </row>
    <row r="537" customHeight="1" spans="14:17">
      <c r="N537"/>
      <c r="O537"/>
      <c r="P537"/>
      <c r="Q537"/>
    </row>
    <row r="538" customHeight="1" spans="14:17">
      <c r="N538"/>
      <c r="O538"/>
      <c r="P538"/>
      <c r="Q538"/>
    </row>
    <row r="539" customHeight="1" spans="14:17">
      <c r="N539"/>
      <c r="O539"/>
      <c r="P539"/>
      <c r="Q539"/>
    </row>
    <row r="540" customHeight="1" spans="14:17">
      <c r="N540"/>
      <c r="O540"/>
      <c r="P540"/>
      <c r="Q540"/>
    </row>
    <row r="541" customHeight="1" spans="14:17">
      <c r="N541"/>
      <c r="O541"/>
      <c r="P541"/>
      <c r="Q541"/>
    </row>
    <row r="542" customHeight="1" spans="14:17">
      <c r="N542"/>
      <c r="O542"/>
      <c r="P542"/>
      <c r="Q542"/>
    </row>
    <row r="543" customHeight="1" spans="14:17">
      <c r="N543"/>
      <c r="O543"/>
      <c r="P543"/>
      <c r="Q543"/>
    </row>
    <row r="544" customHeight="1" spans="14:17">
      <c r="N544"/>
      <c r="O544"/>
      <c r="P544"/>
      <c r="Q544"/>
    </row>
    <row r="545" customHeight="1" spans="14:17">
      <c r="N545"/>
      <c r="O545"/>
      <c r="P545"/>
      <c r="Q545"/>
    </row>
    <row r="546" customHeight="1" spans="14:17">
      <c r="N546"/>
      <c r="O546"/>
      <c r="P546"/>
      <c r="Q546"/>
    </row>
    <row r="547" customHeight="1" spans="14:17">
      <c r="N547"/>
      <c r="O547"/>
      <c r="P547"/>
      <c r="Q547"/>
    </row>
    <row r="548" customHeight="1" spans="14:17">
      <c r="N548"/>
      <c r="O548"/>
      <c r="P548"/>
      <c r="Q548"/>
    </row>
    <row r="549" customHeight="1" spans="14:17">
      <c r="N549"/>
      <c r="O549"/>
      <c r="P549"/>
      <c r="Q549"/>
    </row>
    <row r="550" customHeight="1" spans="14:17">
      <c r="N550"/>
      <c r="O550"/>
      <c r="P550"/>
      <c r="Q550"/>
    </row>
    <row r="551" customHeight="1" spans="14:17">
      <c r="N551"/>
      <c r="O551"/>
      <c r="P551"/>
      <c r="Q551"/>
    </row>
    <row r="552" customHeight="1" spans="14:17">
      <c r="N552"/>
      <c r="O552"/>
      <c r="P552"/>
      <c r="Q552"/>
    </row>
    <row r="553" customHeight="1" spans="14:17">
      <c r="N553"/>
      <c r="O553"/>
      <c r="P553"/>
      <c r="Q553"/>
    </row>
    <row r="554" customHeight="1" spans="14:17">
      <c r="N554"/>
      <c r="O554"/>
      <c r="P554"/>
      <c r="Q554"/>
    </row>
    <row r="555" customHeight="1" spans="14:17">
      <c r="N555"/>
      <c r="O555"/>
      <c r="P555"/>
      <c r="Q555"/>
    </row>
    <row r="556" customHeight="1" spans="14:17">
      <c r="N556"/>
      <c r="O556"/>
      <c r="P556"/>
      <c r="Q556"/>
    </row>
    <row r="557" customHeight="1" spans="14:17">
      <c r="N557"/>
      <c r="O557"/>
      <c r="P557"/>
      <c r="Q557"/>
    </row>
    <row r="558" customHeight="1" spans="14:17">
      <c r="N558"/>
      <c r="O558"/>
      <c r="P558"/>
      <c r="Q558"/>
    </row>
    <row r="559" customHeight="1" spans="14:17">
      <c r="N559"/>
      <c r="O559"/>
      <c r="P559"/>
      <c r="Q559"/>
    </row>
    <row r="560" customHeight="1" spans="14:17">
      <c r="N560"/>
      <c r="O560"/>
      <c r="P560"/>
      <c r="Q560"/>
    </row>
    <row r="561" customHeight="1" spans="14:17">
      <c r="N561"/>
      <c r="O561"/>
      <c r="P561"/>
      <c r="Q561"/>
    </row>
    <row r="562" customHeight="1" spans="14:17">
      <c r="N562"/>
      <c r="O562"/>
      <c r="P562"/>
      <c r="Q562"/>
    </row>
    <row r="563" customHeight="1" spans="14:17">
      <c r="N563"/>
      <c r="O563"/>
      <c r="P563"/>
      <c r="Q563"/>
    </row>
    <row r="564" customHeight="1" spans="14:17">
      <c r="N564"/>
      <c r="O564"/>
      <c r="P564"/>
      <c r="Q564"/>
    </row>
    <row r="565" customHeight="1" spans="14:17">
      <c r="N565"/>
      <c r="O565"/>
      <c r="P565"/>
      <c r="Q565"/>
    </row>
    <row r="566" customHeight="1" spans="14:17">
      <c r="N566"/>
      <c r="O566"/>
      <c r="P566"/>
      <c r="Q566"/>
    </row>
    <row r="567" customHeight="1" spans="14:17">
      <c r="N567"/>
      <c r="O567"/>
      <c r="P567"/>
      <c r="Q567"/>
    </row>
    <row r="568" customHeight="1" spans="14:17">
      <c r="N568"/>
      <c r="O568"/>
      <c r="P568"/>
      <c r="Q568"/>
    </row>
    <row r="569" customHeight="1" spans="14:17">
      <c r="N569"/>
      <c r="O569"/>
      <c r="P569"/>
      <c r="Q569"/>
    </row>
    <row r="570" customHeight="1" spans="14:17">
      <c r="N570"/>
      <c r="O570"/>
      <c r="P570"/>
      <c r="Q570"/>
    </row>
    <row r="571" customHeight="1" spans="14:17">
      <c r="N571"/>
      <c r="O571"/>
      <c r="P571"/>
      <c r="Q571"/>
    </row>
    <row r="572" customHeight="1" spans="14:17">
      <c r="N572"/>
      <c r="O572"/>
      <c r="P572"/>
      <c r="Q572"/>
    </row>
    <row r="573" customHeight="1" spans="14:17">
      <c r="N573"/>
      <c r="O573"/>
      <c r="P573"/>
      <c r="Q573"/>
    </row>
    <row r="574" customHeight="1" spans="14:17">
      <c r="N574"/>
      <c r="O574"/>
      <c r="P574"/>
      <c r="Q574"/>
    </row>
    <row r="575" customHeight="1" spans="14:17">
      <c r="N575"/>
      <c r="O575"/>
      <c r="P575"/>
      <c r="Q575"/>
    </row>
    <row r="576" customHeight="1" spans="14:17">
      <c r="N576"/>
      <c r="O576"/>
      <c r="P576"/>
      <c r="Q576"/>
    </row>
    <row r="577" customHeight="1" spans="14:17">
      <c r="N577"/>
      <c r="O577"/>
      <c r="P577"/>
      <c r="Q577"/>
    </row>
    <row r="578" customHeight="1" spans="14:17">
      <c r="N578"/>
      <c r="O578"/>
      <c r="P578"/>
      <c r="Q578"/>
    </row>
    <row r="579" customHeight="1" spans="14:17">
      <c r="N579"/>
      <c r="O579"/>
      <c r="P579"/>
      <c r="Q579"/>
    </row>
    <row r="580" customHeight="1" spans="14:17">
      <c r="N580"/>
      <c r="O580"/>
      <c r="P580"/>
      <c r="Q580"/>
    </row>
    <row r="581" customHeight="1" spans="14:17">
      <c r="N581"/>
      <c r="O581"/>
      <c r="P581"/>
      <c r="Q581"/>
    </row>
    <row r="582" customHeight="1" spans="14:17">
      <c r="N582"/>
      <c r="O582"/>
      <c r="P582"/>
      <c r="Q582"/>
    </row>
    <row r="583" customHeight="1" spans="14:17">
      <c r="N583"/>
      <c r="O583"/>
      <c r="P583"/>
      <c r="Q583"/>
    </row>
    <row r="584" customHeight="1" spans="14:17">
      <c r="N584"/>
      <c r="O584"/>
      <c r="P584"/>
      <c r="Q584"/>
    </row>
    <row r="585" customHeight="1" spans="14:17">
      <c r="N585"/>
      <c r="O585"/>
      <c r="P585"/>
      <c r="Q585"/>
    </row>
    <row r="586" customHeight="1" spans="14:17">
      <c r="N586"/>
      <c r="O586"/>
      <c r="P586"/>
      <c r="Q586"/>
    </row>
    <row r="587" customHeight="1" spans="14:17">
      <c r="N587"/>
      <c r="O587"/>
      <c r="P587"/>
      <c r="Q587"/>
    </row>
    <row r="588" customHeight="1" spans="14:17">
      <c r="N588"/>
      <c r="O588"/>
      <c r="P588"/>
      <c r="Q588"/>
    </row>
    <row r="589" customHeight="1" spans="14:17">
      <c r="N589"/>
      <c r="O589"/>
      <c r="P589"/>
      <c r="Q589"/>
    </row>
    <row r="590" customHeight="1" spans="14:17">
      <c r="N590"/>
      <c r="O590"/>
      <c r="P590"/>
      <c r="Q590"/>
    </row>
    <row r="591" customHeight="1" spans="14:17">
      <c r="N591"/>
      <c r="O591"/>
      <c r="P591"/>
      <c r="Q591"/>
    </row>
    <row r="592" customHeight="1" spans="14:17">
      <c r="N592"/>
      <c r="O592"/>
      <c r="P592"/>
      <c r="Q592"/>
    </row>
    <row r="593" customHeight="1" spans="14:17">
      <c r="N593"/>
      <c r="O593"/>
      <c r="P593"/>
      <c r="Q593"/>
    </row>
    <row r="594" customHeight="1" spans="14:17">
      <c r="N594"/>
      <c r="O594"/>
      <c r="P594"/>
      <c r="Q594"/>
    </row>
    <row r="595" customHeight="1" spans="14:17">
      <c r="N595"/>
      <c r="O595"/>
      <c r="P595"/>
      <c r="Q595"/>
    </row>
    <row r="596" customHeight="1" spans="14:17">
      <c r="N596"/>
      <c r="O596"/>
      <c r="P596"/>
      <c r="Q596"/>
    </row>
    <row r="597" customHeight="1" spans="14:17">
      <c r="N597"/>
      <c r="O597"/>
      <c r="P597"/>
      <c r="Q597"/>
    </row>
    <row r="598" customHeight="1" spans="14:17">
      <c r="N598"/>
      <c r="O598"/>
      <c r="P598"/>
      <c r="Q598"/>
    </row>
    <row r="599" customHeight="1" spans="14:17">
      <c r="N599"/>
      <c r="O599"/>
      <c r="P599"/>
      <c r="Q599"/>
    </row>
    <row r="600" customHeight="1" spans="14:17">
      <c r="N600"/>
      <c r="O600"/>
      <c r="P600"/>
      <c r="Q600"/>
    </row>
    <row r="601" customHeight="1" spans="14:17">
      <c r="N601"/>
      <c r="O601"/>
      <c r="P601"/>
      <c r="Q601"/>
    </row>
    <row r="602" customHeight="1" spans="14:17">
      <c r="N602"/>
      <c r="O602"/>
      <c r="P602"/>
      <c r="Q602"/>
    </row>
  </sheetData>
  <mergeCells count="3">
    <mergeCell ref="A5:E5"/>
    <mergeCell ref="H5:K5"/>
    <mergeCell ref="N5:Q5"/>
  </mergeCells>
  <pageMargins left="0.354166666666667" right="0.236111111111111" top="0.550694444444444" bottom="0.550694444444444" header="0.5" footer="0.5"/>
  <pageSetup paperSize="9" orientation="portrait"/>
  <headerFooter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5"/>
  <sheetViews>
    <sheetView workbookViewId="0">
      <selection activeCell="J23" sqref="J23"/>
    </sheetView>
  </sheetViews>
  <sheetFormatPr defaultColWidth="9" defaultRowHeight="13.5" outlineLevelCol="4"/>
  <cols>
    <col min="1" max="1" width="11.375"/>
    <col min="2" max="2" width="21.625" style="1"/>
    <col min="3" max="4" width="7.13333333333333" style="1"/>
    <col min="5" max="5" width="5.13333333333333" style="1"/>
    <col min="6" max="7" width="5.13333333333333"/>
  </cols>
  <sheetData>
    <row r="3" spans="1:5">
      <c r="A3" t="s">
        <v>4</v>
      </c>
      <c r="B3" t="s">
        <v>336</v>
      </c>
      <c r="C3"/>
      <c r="D3"/>
      <c r="E3"/>
    </row>
    <row r="4" spans="1:5">
      <c r="A4" t="s">
        <v>12</v>
      </c>
      <c r="B4" s="1">
        <v>17</v>
      </c>
      <c r="C4"/>
      <c r="D4"/>
      <c r="E4"/>
    </row>
    <row r="5" spans="1:5">
      <c r="A5" t="s">
        <v>131</v>
      </c>
      <c r="B5" s="1">
        <v>26</v>
      </c>
      <c r="C5"/>
      <c r="D5"/>
      <c r="E5"/>
    </row>
    <row r="6" spans="1:5">
      <c r="A6" t="s">
        <v>54</v>
      </c>
      <c r="B6" s="1">
        <v>16</v>
      </c>
      <c r="C6"/>
      <c r="D6"/>
      <c r="E6"/>
    </row>
    <row r="7" spans="1:5">
      <c r="A7" t="s">
        <v>95</v>
      </c>
      <c r="B7" s="1">
        <v>1</v>
      </c>
      <c r="C7"/>
      <c r="D7"/>
      <c r="E7"/>
    </row>
    <row r="8" spans="1:5">
      <c r="A8" t="s">
        <v>85</v>
      </c>
      <c r="B8" s="1">
        <v>5</v>
      </c>
      <c r="C8"/>
      <c r="D8"/>
      <c r="E8"/>
    </row>
    <row r="9" spans="1:5">
      <c r="A9" t="s">
        <v>146</v>
      </c>
      <c r="B9" s="1">
        <v>12</v>
      </c>
      <c r="C9"/>
      <c r="D9"/>
      <c r="E9"/>
    </row>
    <row r="10" spans="1:5">
      <c r="A10" t="s">
        <v>172</v>
      </c>
      <c r="B10" s="1">
        <v>2</v>
      </c>
      <c r="C10"/>
      <c r="D10"/>
      <c r="E10"/>
    </row>
    <row r="11" spans="1:5">
      <c r="A11" t="s">
        <v>99</v>
      </c>
      <c r="B11" s="1">
        <v>12</v>
      </c>
      <c r="C11"/>
      <c r="D11"/>
      <c r="E11"/>
    </row>
    <row r="12" spans="1:5">
      <c r="A12" t="s">
        <v>118</v>
      </c>
      <c r="B12" s="1">
        <v>4</v>
      </c>
      <c r="C12"/>
      <c r="D12"/>
      <c r="E12"/>
    </row>
    <row r="13" spans="1:5">
      <c r="A13" t="s">
        <v>334</v>
      </c>
      <c r="B13" s="1">
        <v>95</v>
      </c>
      <c r="C13"/>
      <c r="D13"/>
      <c r="E13"/>
    </row>
    <row r="14" spans="1:5">
      <c r="B14"/>
      <c r="C14"/>
      <c r="D14"/>
      <c r="E14"/>
    </row>
    <row r="15" spans="1:5">
      <c r="B15"/>
      <c r="C15"/>
      <c r="D15"/>
      <c r="E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物资目录</vt:lpstr>
      <vt:lpstr>表1- 本月物资进出明细账</vt:lpstr>
      <vt:lpstr>表2- 本月物资进出汇总表（自动汇总）</vt:lpstr>
      <vt:lpstr>表3- 月数据自动汇总</vt:lpstr>
      <vt:lpstr>表4- 展示给李总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孙权权</cp:lastModifiedBy>
  <dcterms:created xsi:type="dcterms:W3CDTF">2023-05-12T11:15:00Z</dcterms:created>
  <dcterms:modified xsi:type="dcterms:W3CDTF">2025-11-28T07:46:02Z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917A8B751DC44CAF9F2E0497A68D38B1_13</vt:lpwstr>
  </property>
  <property fmtid="{D5CDD505-2E9C-101B-9397-08002B2CF9AE}" pid="4" name="KSOReadingLayout">
    <vt:bool>true</vt:bool>
  </property>
</Properties>
</file>